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tario" sheetId="1" state="visible" r:id="rId3"/>
    <sheet name="Resumen por grupo" sheetId="2" state="visible" r:id="rId4"/>
  </sheets>
  <definedNames>
    <definedName function="false" hidden="true" localSheetId="0" name="_xlnm._FilterDatabase" vbProcedure="false">Recetario!$A$1:$I$167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<sst xmlns="http://schemas.openxmlformats.org/spreadsheetml/2006/main" count="872" uniqueCount="211">
  <si>
    <t xml:space="preserve">Plato</t>
  </si>
  <si>
    <t xml:space="preserve">Categoría</t>
  </si>
  <si>
    <t xml:space="preserve">Estilo</t>
  </si>
  <si>
    <t xml:space="preserve">Curso</t>
  </si>
  <si>
    <t xml:space="preserve">Batch/Tupper</t>
  </si>
  <si>
    <t xml:space="preserve">Kcal</t>
  </si>
  <si>
    <t xml:space="preserve">Proteína (g)</t>
  </si>
  <si>
    <t xml:space="preserve">Hidratos (g)</t>
  </si>
  <si>
    <t xml:space="preserve">Grasa (g)</t>
  </si>
  <si>
    <t xml:space="preserve">Alubias con verduras</t>
  </si>
  <si>
    <t xml:space="preserve">Legumbres</t>
  </si>
  <si>
    <t xml:space="preserve">Casero</t>
  </si>
  <si>
    <t xml:space="preserve">Primero</t>
  </si>
  <si>
    <t xml:space="preserve">Sí</t>
  </si>
  <si>
    <t xml:space="preserve">Burger de lentejas y remolacha</t>
  </si>
  <si>
    <t xml:space="preserve">Segundo</t>
  </si>
  <si>
    <t xml:space="preserve">Chili con carne</t>
  </si>
  <si>
    <t xml:space="preserve">Mexicano</t>
  </si>
  <si>
    <t xml:space="preserve">Curry de garbanzos y espinacas</t>
  </si>
  <si>
    <t xml:space="preserve">Indio</t>
  </si>
  <si>
    <t xml:space="preserve">Dal de lentejas rojas</t>
  </si>
  <si>
    <t xml:space="preserve">Ensalada de garbanzos, tomate y atún</t>
  </si>
  <si>
    <t xml:space="preserve">—</t>
  </si>
  <si>
    <t xml:space="preserve">Ensalada templada de lentejas</t>
  </si>
  <si>
    <t xml:space="preserve">Cena</t>
  </si>
  <si>
    <t xml:space="preserve">Falafel al horno con ensalada</t>
  </si>
  <si>
    <t xml:space="preserve">Árabe</t>
  </si>
  <si>
    <t xml:space="preserve">Garbanzos con espinacas</t>
  </si>
  <si>
    <t xml:space="preserve">Garbanzos con espinacas y bacalao</t>
  </si>
  <si>
    <t xml:space="preserve">Hummus con crudités</t>
  </si>
  <si>
    <t xml:space="preserve">Peques (niños)</t>
  </si>
  <si>
    <t xml:space="preserve">Lentejas a la jardinera</t>
  </si>
  <si>
    <t xml:space="preserve">Lentejas en puré</t>
  </si>
  <si>
    <t xml:space="preserve">Lentejas estofadas</t>
  </si>
  <si>
    <t xml:space="preserve">Potaje de alubias y verduras</t>
  </si>
  <si>
    <t xml:space="preserve">Salteado de tofu y verduras</t>
  </si>
  <si>
    <t xml:space="preserve">Asiático</t>
  </si>
  <si>
    <t xml:space="preserve">Wrap de hummus y verduras</t>
  </si>
  <si>
    <t xml:space="preserve">Mediterráneo</t>
  </si>
  <si>
    <t xml:space="preserve">Berenjena rellena de verduras</t>
  </si>
  <si>
    <t xml:space="preserve">Verduras</t>
  </si>
  <si>
    <t xml:space="preserve">Berenjenas a la parmesana ligera</t>
  </si>
  <si>
    <t xml:space="preserve">Italiano</t>
  </si>
  <si>
    <t xml:space="preserve">Brócoli al vapor con AOVE</t>
  </si>
  <si>
    <t xml:space="preserve">Calabacín relleno</t>
  </si>
  <si>
    <t xml:space="preserve">Calabaza asada con garbanzos especiados</t>
  </si>
  <si>
    <t xml:space="preserve">Coliflor asada con especias</t>
  </si>
  <si>
    <t xml:space="preserve">Espinacas salteadas con ajo</t>
  </si>
  <si>
    <t xml:space="preserve">Espárragos a la plancha</t>
  </si>
  <si>
    <t xml:space="preserve">Espárragos trigueros con jamón y huevo</t>
  </si>
  <si>
    <t xml:space="preserve">Fingers de berenjena al horno</t>
  </si>
  <si>
    <t xml:space="preserve">Judías verdes con patata</t>
  </si>
  <si>
    <t xml:space="preserve">Lasaña de calabacín</t>
  </si>
  <si>
    <t xml:space="preserve">Menestra de verduras</t>
  </si>
  <si>
    <t xml:space="preserve">Pimientos rellenos de quinoa y pavo</t>
  </si>
  <si>
    <t xml:space="preserve">Pisto con huevo y garbanzos</t>
  </si>
  <si>
    <t xml:space="preserve">Pisto de verduras</t>
  </si>
  <si>
    <t xml:space="preserve">Español</t>
  </si>
  <si>
    <t xml:space="preserve">Pizza con base de coliflor</t>
  </si>
  <si>
    <t xml:space="preserve">Salteado de judías verdes con jamón</t>
  </si>
  <si>
    <t xml:space="preserve">Tostada integral de aguacate y huevo</t>
  </si>
  <si>
    <t xml:space="preserve">Wok de verduras con anacardos</t>
  </si>
  <si>
    <t xml:space="preserve">Ensalada César con pollo</t>
  </si>
  <si>
    <t xml:space="preserve">Ensaladas</t>
  </si>
  <si>
    <t xml:space="preserve">Ensalada de aguacate, tomate y huevo</t>
  </si>
  <si>
    <t xml:space="preserve">Ensalada de garbanzos especiados y pepino</t>
  </si>
  <si>
    <t xml:space="preserve">Ensalada de pimientos asados con atún</t>
  </si>
  <si>
    <t xml:space="preserve">Ensalada de pollo, mango y aguacate</t>
  </si>
  <si>
    <t xml:space="preserve">Ensalada de quinoa y verduras</t>
  </si>
  <si>
    <t xml:space="preserve">Ensalada de tomate y mozzarella</t>
  </si>
  <si>
    <t xml:space="preserve">Ensalada griega con feta</t>
  </si>
  <si>
    <t xml:space="preserve">Griego</t>
  </si>
  <si>
    <t xml:space="preserve">Ensalada mixta con atún</t>
  </si>
  <si>
    <t xml:space="preserve">Ensalada templada de quinoa, boniato y feta</t>
  </si>
  <si>
    <t xml:space="preserve">Tabulé de quinoa</t>
  </si>
  <si>
    <t xml:space="preserve">Crema de calabacín</t>
  </si>
  <si>
    <t xml:space="preserve">Sopas y cremas</t>
  </si>
  <si>
    <t xml:space="preserve">Crema de calabaza</t>
  </si>
  <si>
    <t xml:space="preserve">Crema de guisantes y menta</t>
  </si>
  <si>
    <t xml:space="preserve">Crema de lentejas rojas</t>
  </si>
  <si>
    <t xml:space="preserve">Crema de verduras</t>
  </si>
  <si>
    <t xml:space="preserve">Crema de verduras con picatostes integrales</t>
  </si>
  <si>
    <t xml:space="preserve">Gazpacho</t>
  </si>
  <si>
    <t xml:space="preserve">Gazpacho de remolacha</t>
  </si>
  <si>
    <t xml:space="preserve">Salmorejo</t>
  </si>
  <si>
    <t xml:space="preserve">Sopa de pollo y verduras</t>
  </si>
  <si>
    <t xml:space="preserve">Sopa de verduras</t>
  </si>
  <si>
    <t xml:space="preserve">Sopa minestrone</t>
  </si>
  <si>
    <t xml:space="preserve">Espaguetis con gambas y calabacín</t>
  </si>
  <si>
    <t xml:space="preserve">Pasta</t>
  </si>
  <si>
    <t xml:space="preserve">Espaguetis integrales con tomate</t>
  </si>
  <si>
    <t xml:space="preserve">Gnocchi con salsa de setas</t>
  </si>
  <si>
    <t xml:space="preserve">Lasaña boloñesa de pavo</t>
  </si>
  <si>
    <t xml:space="preserve">Macarrones con pesto y calabacín</t>
  </si>
  <si>
    <t xml:space="preserve">Macarrones con tomate</t>
  </si>
  <si>
    <t xml:space="preserve">Macarrones integrales con boloñesa de pavo</t>
  </si>
  <si>
    <t xml:space="preserve">Noodles de arroz con verduras y gambas</t>
  </si>
  <si>
    <t xml:space="preserve">Pad thai de pollo ligero</t>
  </si>
  <si>
    <t xml:space="preserve">Pasta con boloñesa de pavo</t>
  </si>
  <si>
    <t xml:space="preserve">Pasta con verduras</t>
  </si>
  <si>
    <t xml:space="preserve">Pasta integral con boloñesa de lentejas</t>
  </si>
  <si>
    <t xml:space="preserve">Pizza casera de verduras</t>
  </si>
  <si>
    <t xml:space="preserve">Arroz con pollo</t>
  </si>
  <si>
    <t xml:space="preserve">Arroz y cereales</t>
  </si>
  <si>
    <t xml:space="preserve">Arroz integral con pollo y verduras</t>
  </si>
  <si>
    <t xml:space="preserve">Arroz integral con verduras</t>
  </si>
  <si>
    <t xml:space="preserve">Burrito bowl de pavo y frijoles</t>
  </si>
  <si>
    <t xml:space="preserve">Cuscús con verduras</t>
  </si>
  <si>
    <t xml:space="preserve">Marroquí</t>
  </si>
  <si>
    <t xml:space="preserve">Cuscús marroquí de verduras y pollo</t>
  </si>
  <si>
    <t xml:space="preserve">Poke bowl de atún</t>
  </si>
  <si>
    <t xml:space="preserve">Quinoa con pollo y verduras al curry</t>
  </si>
  <si>
    <t xml:space="preserve">Quinoa con verduras</t>
  </si>
  <si>
    <t xml:space="preserve">Risotto de calabaza</t>
  </si>
  <si>
    <t xml:space="preserve">Risotto de setas</t>
  </si>
  <si>
    <t xml:space="preserve">Atún a la plancha</t>
  </si>
  <si>
    <t xml:space="preserve">Pescado</t>
  </si>
  <si>
    <t xml:space="preserve">Atún con costra de sésamo</t>
  </si>
  <si>
    <t xml:space="preserve">Bacalao al horno</t>
  </si>
  <si>
    <t xml:space="preserve">Bacalao con tomate y pimientos</t>
  </si>
  <si>
    <t xml:space="preserve">Boquerones al horno</t>
  </si>
  <si>
    <t xml:space="preserve">Dorada a la espalda con ajada</t>
  </si>
  <si>
    <t xml:space="preserve">Dorada a la sal</t>
  </si>
  <si>
    <t xml:space="preserve">Lubina al horno</t>
  </si>
  <si>
    <t xml:space="preserve">Lubina al horno con verduras</t>
  </si>
  <si>
    <t xml:space="preserve">Merluza al vapor con verduritas</t>
  </si>
  <si>
    <t xml:space="preserve">Merluza en salsa verde</t>
  </si>
  <si>
    <t xml:space="preserve">Merluza rebozada al horno</t>
  </si>
  <si>
    <t xml:space="preserve">Poke de salmón</t>
  </si>
  <si>
    <t xml:space="preserve">Salmón a la plancha</t>
  </si>
  <si>
    <t xml:space="preserve">Salmón al horno con patata</t>
  </si>
  <si>
    <t xml:space="preserve">Salmón al papillote con soja</t>
  </si>
  <si>
    <t xml:space="preserve">Salmón con costra de pistacho</t>
  </si>
  <si>
    <t xml:space="preserve">Salmón teriyaki</t>
  </si>
  <si>
    <t xml:space="preserve">Tartar de atún con aguacate</t>
  </si>
  <si>
    <t xml:space="preserve">Brochetas de langostino y verduras</t>
  </si>
  <si>
    <t xml:space="preserve">Marisco</t>
  </si>
  <si>
    <t xml:space="preserve">Calamares a la plancha con ajo y perejil</t>
  </si>
  <si>
    <t xml:space="preserve">Chipirones encebollados</t>
  </si>
  <si>
    <t xml:space="preserve">Gambones al horno</t>
  </si>
  <si>
    <t xml:space="preserve">Langostinos a la plancha</t>
  </si>
  <si>
    <t xml:space="preserve">Mejillones al vapor</t>
  </si>
  <si>
    <t xml:space="preserve">Mejillones en salsa de tomate</t>
  </si>
  <si>
    <t xml:space="preserve">Pulpo a la gallega</t>
  </si>
  <si>
    <t xml:space="preserve">Salteado de gambas y verduras al ajillo</t>
  </si>
  <si>
    <t xml:space="preserve">Sepia a la plancha</t>
  </si>
  <si>
    <t xml:space="preserve">Albóndigas de pollo</t>
  </si>
  <si>
    <t xml:space="preserve">Pollo</t>
  </si>
  <si>
    <t xml:space="preserve">Alitas de pollo al horno</t>
  </si>
  <si>
    <t xml:space="preserve">Bowl de pollo, arroz y verduras</t>
  </si>
  <si>
    <t xml:space="preserve">Croquetas de pollo al horno</t>
  </si>
  <si>
    <t xml:space="preserve">Curry rojo de pollo</t>
  </si>
  <si>
    <t xml:space="preserve">Fajitas de pollo</t>
  </si>
  <si>
    <t xml:space="preserve">Mini hamburguesas de pollo</t>
  </si>
  <si>
    <t xml:space="preserve">Muslos de pollo al horno con limón</t>
  </si>
  <si>
    <t xml:space="preserve">Nuggets caseros de pollo</t>
  </si>
  <si>
    <t xml:space="preserve">Nuggets de pollo al horno con boniato</t>
  </si>
  <si>
    <t xml:space="preserve">Pavo a la plancha</t>
  </si>
  <si>
    <t xml:space="preserve">Pavo en salsa de mostaza y miel</t>
  </si>
  <si>
    <t xml:space="preserve">Pechuga de pollo a la plancha</t>
  </si>
  <si>
    <t xml:space="preserve">Pinchos morunos de pollo</t>
  </si>
  <si>
    <t xml:space="preserve">Pollo al ajillo</t>
  </si>
  <si>
    <t xml:space="preserve">Pollo al curry</t>
  </si>
  <si>
    <t xml:space="preserve">Pollo al limón</t>
  </si>
  <si>
    <t xml:space="preserve">Pollo asado con hierbas</t>
  </si>
  <si>
    <t xml:space="preserve">Pollo con patata y verdura</t>
  </si>
  <si>
    <t xml:space="preserve">Pollo en pepitoria</t>
  </si>
  <si>
    <t xml:space="preserve">Pollo guisado con patata y zanahoria</t>
  </si>
  <si>
    <t xml:space="preserve">Pollo teriyaki con arroz integral</t>
  </si>
  <si>
    <t xml:space="preserve">Pollo tikka masala</t>
  </si>
  <si>
    <t xml:space="preserve">Quesadilla integral de pollo y verduras</t>
  </si>
  <si>
    <t xml:space="preserve">Shawarma de pollo en wrap integral</t>
  </si>
  <si>
    <t xml:space="preserve">Souvlaki de pollo con tzatziki</t>
  </si>
  <si>
    <t xml:space="preserve">Wok de verduras con pollo</t>
  </si>
  <si>
    <t xml:space="preserve">Albóndigas de pavo con puré</t>
  </si>
  <si>
    <t xml:space="preserve">Carne</t>
  </si>
  <si>
    <t xml:space="preserve">Albóndigas de pavo en salsa</t>
  </si>
  <si>
    <t xml:space="preserve">Albóndigas en salsa de tomate</t>
  </si>
  <si>
    <t xml:space="preserve">Carpaccio de ternera</t>
  </si>
  <si>
    <t xml:space="preserve">Conejo al horno con hierbas</t>
  </si>
  <si>
    <t xml:space="preserve">Estofado de ternera con verduras</t>
  </si>
  <si>
    <t xml:space="preserve">Hamburguesa casera de ternera con pan integral</t>
  </si>
  <si>
    <t xml:space="preserve">Lomo de cerdo a la naranja</t>
  </si>
  <si>
    <t xml:space="preserve">Lomo de cerdo a la plancha</t>
  </si>
  <si>
    <t xml:space="preserve">Solomillo de cerdo al horno</t>
  </si>
  <si>
    <t xml:space="preserve">Tacos de ternera</t>
  </si>
  <si>
    <t xml:space="preserve">Ternera a la plancha</t>
  </si>
  <si>
    <t xml:space="preserve">Ternera salteada con verduras y soja</t>
  </si>
  <si>
    <t xml:space="preserve">Frittata de verduras</t>
  </si>
  <si>
    <t xml:space="preserve">Huevos</t>
  </si>
  <si>
    <t xml:space="preserve">Huevos al plato con verduras</t>
  </si>
  <si>
    <t xml:space="preserve">Huevos rellenos de atún</t>
  </si>
  <si>
    <t xml:space="preserve">Huevos rellenos de salmón con salsa de aguacate</t>
  </si>
  <si>
    <t xml:space="preserve">Quiche de verduras integral</t>
  </si>
  <si>
    <t xml:space="preserve">Revuelto de setas</t>
  </si>
  <si>
    <t xml:space="preserve">Shakshuka</t>
  </si>
  <si>
    <t xml:space="preserve">Tortilla de calabacín</t>
  </si>
  <si>
    <t xml:space="preserve">Tortilla de espinacas y queso</t>
  </si>
  <si>
    <t xml:space="preserve">Tortilla de patata y calabacín</t>
  </si>
  <si>
    <t xml:space="preserve">Tortilla de patatas</t>
  </si>
  <si>
    <t xml:space="preserve">Tortilla francesa</t>
  </si>
  <si>
    <t xml:space="preserve">Tortilla francesa con jamón</t>
  </si>
  <si>
    <t xml:space="preserve">Macros estimadas por ración estándar de adulto (no es medición). Niños ≈ ×0,6. Batch/Tupper = se cocina por lotes y se conserva/recalienta bien (orientativo).</t>
  </si>
  <si>
    <t xml:space="preserve">Nº platos</t>
  </si>
  <si>
    <t xml:space="preserve">Nº batch</t>
  </si>
  <si>
    <t xml:space="preserve">Kcal media</t>
  </si>
  <si>
    <t xml:space="preserve">Proteína media (g)</t>
  </si>
  <si>
    <t xml:space="preserve">Hidratos media (g)</t>
  </si>
  <si>
    <t xml:space="preserve">Grasa media (g)</t>
  </si>
  <si>
    <t xml:space="preserve">Estilo / cocina</t>
  </si>
  <si>
    <t xml:space="preserve">Total / media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</si>
</sst>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E2A24"/>
      <name val="Arial"/>
      <family val="0"/>
      <charset val="1"/>
    </font>
    <font>
      <i val="true"/>
      <sz val="9"/>
      <color rgb="FF6B756F"/>
      <name val="Arial"/>
      <family val="0"/>
      <charset val="1"/>
    </font>
    <font>
      <b val="true"/>
      <sz val="10"/>
      <color rgb="FF1E2A2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5B"/>
        <bgColor rgb="FF008080"/>
      </patternFill>
    </fill>
    <fill>
      <patternFill patternType="solid">
        <fgColor rgb="FFE2F0E9"/>
        <bgColor rgb="FFD8E0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0DA"/>
      </left>
      <right style="thin">
        <color rgb="FFD8E0DA"/>
      </right>
      <top style="thin">
        <color rgb="FFD8E0DA"/>
      </top>
      <bottom style="thin">
        <color rgb="FFD8E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7D5B"/>
          <bgColor rgb="FF000000"/>
        </patternFill>
      </fill>
    </dxf>
    <dxf>
      <fill>
        <patternFill patternType="solid">
          <fgColor rgb="FFE2F0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2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56F"/>
      <rgbColor rgb="FF9999FF"/>
      <rgbColor rgb="FF993366"/>
      <rgbColor rgb="FFFFFFCC"/>
      <rgbColor rgb="FFE2F0E9"/>
      <rgbColor rgb="FF660066"/>
      <rgbColor rgb="FFFF8080"/>
      <rgbColor rgb="FF0066CC"/>
      <rgbColor rgb="FFD8E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5B"/>
      <rgbColor rgb="FF003300"/>
      <rgbColor rgb="FF333300"/>
      <rgbColor rgb="FF993300"/>
      <rgbColor rgb="FF993366"/>
      <rgbColor rgb="FF333399"/>
      <rgbColor rgb="FF1E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8" min="7" style="0" width="13"/>
    <col collapsed="false" customWidth="true" hidden="false" outlineLevel="0" max="9" min="9" style="0" width="11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5" t="n">
        <v>460</v>
      </c>
      <c r="G2" s="5" t="n">
        <v>22</v>
      </c>
      <c r="H2" s="5" t="n">
        <v>58</v>
      </c>
      <c r="I2" s="5" t="n">
        <v>12</v>
      </c>
    </row>
    <row r="3" customFormat="false" ht="15" hidden="false" customHeight="false" outlineLevel="0" collapsed="false">
      <c r="A3" s="6" t="s">
        <v>14</v>
      </c>
      <c r="B3" s="6" t="s">
        <v>10</v>
      </c>
      <c r="C3" s="6" t="s">
        <v>11</v>
      </c>
      <c r="D3" s="6" t="s">
        <v>15</v>
      </c>
      <c r="E3" s="7" t="s">
        <v>13</v>
      </c>
      <c r="F3" s="8" t="n">
        <v>460</v>
      </c>
      <c r="G3" s="8" t="n">
        <v>22</v>
      </c>
      <c r="H3" s="8" t="n">
        <v>54</v>
      </c>
      <c r="I3" s="8" t="n">
        <v>16</v>
      </c>
    </row>
    <row r="4" customFormat="false" ht="15" hidden="false" customHeight="false" outlineLevel="0" collapsed="false">
      <c r="A4" s="3" t="s">
        <v>16</v>
      </c>
      <c r="B4" s="3" t="s">
        <v>10</v>
      </c>
      <c r="C4" s="3" t="s">
        <v>17</v>
      </c>
      <c r="D4" s="3" t="s">
        <v>15</v>
      </c>
      <c r="E4" s="4" t="s">
        <v>13</v>
      </c>
      <c r="F4" s="5" t="n">
        <v>520</v>
      </c>
      <c r="G4" s="5" t="n">
        <v>34</v>
      </c>
      <c r="H4" s="5" t="n">
        <v>48</v>
      </c>
      <c r="I4" s="5" t="n">
        <v>18</v>
      </c>
    </row>
    <row r="5" customFormat="false" ht="15" hidden="false" customHeight="false" outlineLevel="0" collapsed="false">
      <c r="A5" s="6" t="s">
        <v>18</v>
      </c>
      <c r="B5" s="6" t="s">
        <v>10</v>
      </c>
      <c r="C5" s="6" t="s">
        <v>19</v>
      </c>
      <c r="D5" s="6" t="s">
        <v>12</v>
      </c>
      <c r="E5" s="7" t="s">
        <v>13</v>
      </c>
      <c r="F5" s="8" t="n">
        <v>480</v>
      </c>
      <c r="G5" s="8" t="n">
        <v>20</v>
      </c>
      <c r="H5" s="8" t="n">
        <v>58</v>
      </c>
      <c r="I5" s="8" t="n">
        <v>16</v>
      </c>
    </row>
    <row r="6" customFormat="false" ht="15" hidden="false" customHeight="false" outlineLevel="0" collapsed="false">
      <c r="A6" s="3" t="s">
        <v>20</v>
      </c>
      <c r="B6" s="3" t="s">
        <v>10</v>
      </c>
      <c r="C6" s="3" t="s">
        <v>19</v>
      </c>
      <c r="D6" s="3" t="s">
        <v>12</v>
      </c>
      <c r="E6" s="4" t="s">
        <v>13</v>
      </c>
      <c r="F6" s="5" t="n">
        <v>440</v>
      </c>
      <c r="G6" s="5" t="n">
        <v>22</v>
      </c>
      <c r="H6" s="5" t="n">
        <v>60</v>
      </c>
      <c r="I6" s="5" t="n">
        <v>10</v>
      </c>
    </row>
    <row r="7" customFormat="false" ht="15" hidden="false" customHeight="false" outlineLevel="0" collapsed="false">
      <c r="A7" s="6" t="s">
        <v>21</v>
      </c>
      <c r="B7" s="6" t="s">
        <v>10</v>
      </c>
      <c r="C7" s="6" t="s">
        <v>11</v>
      </c>
      <c r="D7" s="6" t="s">
        <v>12</v>
      </c>
      <c r="E7" s="7" t="s">
        <v>22</v>
      </c>
      <c r="F7" s="8" t="n">
        <v>460</v>
      </c>
      <c r="G7" s="8" t="n">
        <v>28</v>
      </c>
      <c r="H7" s="8" t="n">
        <v>40</v>
      </c>
      <c r="I7" s="8" t="n">
        <v>20</v>
      </c>
    </row>
    <row r="8" customFormat="false" ht="15" hidden="false" customHeight="false" outlineLevel="0" collapsed="false">
      <c r="A8" s="3" t="s">
        <v>23</v>
      </c>
      <c r="B8" s="3" t="s">
        <v>10</v>
      </c>
      <c r="C8" s="3" t="s">
        <v>11</v>
      </c>
      <c r="D8" s="3" t="s">
        <v>24</v>
      </c>
      <c r="E8" s="4" t="s">
        <v>22</v>
      </c>
      <c r="F8" s="5" t="n">
        <v>480</v>
      </c>
      <c r="G8" s="5" t="n">
        <v>24</v>
      </c>
      <c r="H8" s="5" t="n">
        <v>54</v>
      </c>
      <c r="I8" s="5" t="n">
        <v>16</v>
      </c>
    </row>
    <row r="9" customFormat="false" ht="15" hidden="false" customHeight="false" outlineLevel="0" collapsed="false">
      <c r="A9" s="6" t="s">
        <v>25</v>
      </c>
      <c r="B9" s="6" t="s">
        <v>10</v>
      </c>
      <c r="C9" s="6" t="s">
        <v>26</v>
      </c>
      <c r="D9" s="6" t="s">
        <v>15</v>
      </c>
      <c r="E9" s="7" t="s">
        <v>13</v>
      </c>
      <c r="F9" s="8" t="n">
        <v>460</v>
      </c>
      <c r="G9" s="8" t="n">
        <v>20</v>
      </c>
      <c r="H9" s="8" t="n">
        <v>52</v>
      </c>
      <c r="I9" s="8" t="n">
        <v>18</v>
      </c>
    </row>
    <row r="10" customFormat="false" ht="15" hidden="false" customHeight="false" outlineLevel="0" collapsed="false">
      <c r="A10" s="3" t="s">
        <v>27</v>
      </c>
      <c r="B10" s="3" t="s">
        <v>10</v>
      </c>
      <c r="C10" s="3" t="s">
        <v>11</v>
      </c>
      <c r="D10" s="3" t="s">
        <v>12</v>
      </c>
      <c r="E10" s="4" t="s">
        <v>13</v>
      </c>
      <c r="F10" s="5" t="n">
        <v>540</v>
      </c>
      <c r="G10" s="5" t="n">
        <v>24</v>
      </c>
      <c r="H10" s="5" t="n">
        <v>62</v>
      </c>
      <c r="I10" s="5" t="n">
        <v>20</v>
      </c>
    </row>
    <row r="11" customFormat="false" ht="15" hidden="false" customHeight="false" outlineLevel="0" collapsed="false">
      <c r="A11" s="6" t="s">
        <v>28</v>
      </c>
      <c r="B11" s="6" t="s">
        <v>10</v>
      </c>
      <c r="C11" s="6" t="s">
        <v>11</v>
      </c>
      <c r="D11" s="6" t="s">
        <v>12</v>
      </c>
      <c r="E11" s="7" t="s">
        <v>13</v>
      </c>
      <c r="F11" s="8" t="n">
        <v>500</v>
      </c>
      <c r="G11" s="8" t="n">
        <v>34</v>
      </c>
      <c r="H11" s="8" t="n">
        <v>46</v>
      </c>
      <c r="I11" s="8" t="n">
        <v>16</v>
      </c>
    </row>
    <row r="12" customFormat="false" ht="15" hidden="false" customHeight="false" outlineLevel="0" collapsed="false">
      <c r="A12" s="3" t="s">
        <v>29</v>
      </c>
      <c r="B12" s="3" t="s">
        <v>10</v>
      </c>
      <c r="C12" s="3" t="s">
        <v>26</v>
      </c>
      <c r="D12" s="3" t="s">
        <v>30</v>
      </c>
      <c r="E12" s="4" t="s">
        <v>13</v>
      </c>
      <c r="F12" s="5" t="n">
        <v>340</v>
      </c>
      <c r="G12" s="5" t="n">
        <v>12</v>
      </c>
      <c r="H12" s="5" t="n">
        <v>32</v>
      </c>
      <c r="I12" s="5" t="n">
        <v>18</v>
      </c>
    </row>
    <row r="13" customFormat="false" ht="15" hidden="false" customHeight="false" outlineLevel="0" collapsed="false">
      <c r="A13" s="6" t="s">
        <v>31</v>
      </c>
      <c r="B13" s="6" t="s">
        <v>10</v>
      </c>
      <c r="C13" s="6" t="s">
        <v>11</v>
      </c>
      <c r="D13" s="6" t="s">
        <v>12</v>
      </c>
      <c r="E13" s="7" t="s">
        <v>13</v>
      </c>
      <c r="F13" s="8" t="n">
        <v>480</v>
      </c>
      <c r="G13" s="8" t="n">
        <v>24</v>
      </c>
      <c r="H13" s="8" t="n">
        <v>60</v>
      </c>
      <c r="I13" s="8" t="n">
        <v>12</v>
      </c>
    </row>
    <row r="14" customFormat="false" ht="15" hidden="false" customHeight="false" outlineLevel="0" collapsed="false">
      <c r="A14" s="3" t="s">
        <v>32</v>
      </c>
      <c r="B14" s="3" t="s">
        <v>10</v>
      </c>
      <c r="C14" s="3" t="s">
        <v>11</v>
      </c>
      <c r="D14" s="3" t="s">
        <v>30</v>
      </c>
      <c r="E14" s="4" t="s">
        <v>13</v>
      </c>
      <c r="F14" s="5" t="n">
        <v>480</v>
      </c>
      <c r="G14" s="5" t="n">
        <v>24</v>
      </c>
      <c r="H14" s="5" t="n">
        <v>58</v>
      </c>
      <c r="I14" s="5" t="n">
        <v>14</v>
      </c>
    </row>
    <row r="15" customFormat="false" ht="15" hidden="false" customHeight="false" outlineLevel="0" collapsed="false">
      <c r="A15" s="6" t="s">
        <v>33</v>
      </c>
      <c r="B15" s="6" t="s">
        <v>10</v>
      </c>
      <c r="C15" s="6" t="s">
        <v>11</v>
      </c>
      <c r="D15" s="6" t="s">
        <v>12</v>
      </c>
      <c r="E15" s="7" t="s">
        <v>13</v>
      </c>
      <c r="F15" s="8" t="n">
        <v>560</v>
      </c>
      <c r="G15" s="8" t="n">
        <v>28</v>
      </c>
      <c r="H15" s="8" t="n">
        <v>66</v>
      </c>
      <c r="I15" s="8" t="n">
        <v>18</v>
      </c>
    </row>
    <row r="16" customFormat="false" ht="15" hidden="false" customHeight="false" outlineLevel="0" collapsed="false">
      <c r="A16" s="3" t="s">
        <v>34</v>
      </c>
      <c r="B16" s="3" t="s">
        <v>10</v>
      </c>
      <c r="C16" s="3" t="s">
        <v>11</v>
      </c>
      <c r="D16" s="3" t="s">
        <v>12</v>
      </c>
      <c r="E16" s="4" t="s">
        <v>13</v>
      </c>
      <c r="F16" s="5" t="n">
        <v>520</v>
      </c>
      <c r="G16" s="5" t="n">
        <v>26</v>
      </c>
      <c r="H16" s="5" t="n">
        <v>64</v>
      </c>
      <c r="I16" s="5" t="n">
        <v>14</v>
      </c>
    </row>
    <row r="17" customFormat="false" ht="15" hidden="false" customHeight="false" outlineLevel="0" collapsed="false">
      <c r="A17" s="6" t="s">
        <v>35</v>
      </c>
      <c r="B17" s="6" t="s">
        <v>10</v>
      </c>
      <c r="C17" s="6" t="s">
        <v>36</v>
      </c>
      <c r="D17" s="6" t="s">
        <v>15</v>
      </c>
      <c r="E17" s="7" t="s">
        <v>22</v>
      </c>
      <c r="F17" s="8" t="n">
        <v>400</v>
      </c>
      <c r="G17" s="8" t="n">
        <v>26</v>
      </c>
      <c r="H17" s="8" t="n">
        <v>28</v>
      </c>
      <c r="I17" s="8" t="n">
        <v>18</v>
      </c>
    </row>
    <row r="18" customFormat="false" ht="15" hidden="false" customHeight="false" outlineLevel="0" collapsed="false">
      <c r="A18" s="3" t="s">
        <v>37</v>
      </c>
      <c r="B18" s="3" t="s">
        <v>10</v>
      </c>
      <c r="C18" s="3" t="s">
        <v>38</v>
      </c>
      <c r="D18" s="3" t="s">
        <v>24</v>
      </c>
      <c r="E18" s="4" t="s">
        <v>22</v>
      </c>
      <c r="F18" s="5" t="n">
        <v>420</v>
      </c>
      <c r="G18" s="5" t="n">
        <v>16</v>
      </c>
      <c r="H18" s="5" t="n">
        <v>52</v>
      </c>
      <c r="I18" s="5" t="n">
        <v>16</v>
      </c>
    </row>
    <row r="19" customFormat="false" ht="15" hidden="false" customHeight="false" outlineLevel="0" collapsed="false">
      <c r="A19" s="6" t="s">
        <v>39</v>
      </c>
      <c r="B19" s="6" t="s">
        <v>40</v>
      </c>
      <c r="C19" s="6" t="s">
        <v>38</v>
      </c>
      <c r="D19" s="6" t="s">
        <v>12</v>
      </c>
      <c r="E19" s="7" t="s">
        <v>13</v>
      </c>
      <c r="F19" s="8" t="n">
        <v>400</v>
      </c>
      <c r="G19" s="8" t="n">
        <v>18</v>
      </c>
      <c r="H19" s="8" t="n">
        <v>32</v>
      </c>
      <c r="I19" s="8" t="n">
        <v>22</v>
      </c>
    </row>
    <row r="20" customFormat="false" ht="15" hidden="false" customHeight="false" outlineLevel="0" collapsed="false">
      <c r="A20" s="3" t="s">
        <v>41</v>
      </c>
      <c r="B20" s="3" t="s">
        <v>40</v>
      </c>
      <c r="C20" s="3" t="s">
        <v>42</v>
      </c>
      <c r="D20" s="3" t="s">
        <v>12</v>
      </c>
      <c r="E20" s="4" t="s">
        <v>22</v>
      </c>
      <c r="F20" s="5" t="n">
        <v>420</v>
      </c>
      <c r="G20" s="5" t="n">
        <v>22</v>
      </c>
      <c r="H20" s="5" t="n">
        <v>30</v>
      </c>
      <c r="I20" s="5" t="n">
        <v>22</v>
      </c>
    </row>
    <row r="21" customFormat="false" ht="15" hidden="false" customHeight="false" outlineLevel="0" collapsed="false">
      <c r="A21" s="6" t="s">
        <v>43</v>
      </c>
      <c r="B21" s="6" t="s">
        <v>40</v>
      </c>
      <c r="C21" s="6" t="s">
        <v>38</v>
      </c>
      <c r="D21" s="6" t="s">
        <v>12</v>
      </c>
      <c r="E21" s="7" t="s">
        <v>22</v>
      </c>
      <c r="F21" s="8" t="n">
        <v>220</v>
      </c>
      <c r="G21" s="8" t="n">
        <v>10</v>
      </c>
      <c r="H21" s="8" t="n">
        <v>18</v>
      </c>
      <c r="I21" s="8" t="n">
        <v>13</v>
      </c>
    </row>
    <row r="22" customFormat="false" ht="15" hidden="false" customHeight="false" outlineLevel="0" collapsed="false">
      <c r="A22" s="3" t="s">
        <v>44</v>
      </c>
      <c r="B22" s="3" t="s">
        <v>40</v>
      </c>
      <c r="C22" s="3" t="s">
        <v>38</v>
      </c>
      <c r="D22" s="3" t="s">
        <v>12</v>
      </c>
      <c r="E22" s="4" t="s">
        <v>13</v>
      </c>
      <c r="F22" s="5" t="n">
        <v>380</v>
      </c>
      <c r="G22" s="5" t="n">
        <v>20</v>
      </c>
      <c r="H22" s="5" t="n">
        <v>28</v>
      </c>
      <c r="I22" s="5" t="n">
        <v>20</v>
      </c>
    </row>
    <row r="23" customFormat="false" ht="15" hidden="false" customHeight="false" outlineLevel="0" collapsed="false">
      <c r="A23" s="6" t="s">
        <v>45</v>
      </c>
      <c r="B23" s="6" t="s">
        <v>40</v>
      </c>
      <c r="C23" s="6" t="s">
        <v>38</v>
      </c>
      <c r="D23" s="6" t="s">
        <v>12</v>
      </c>
      <c r="E23" s="7" t="s">
        <v>13</v>
      </c>
      <c r="F23" s="8" t="n">
        <v>380</v>
      </c>
      <c r="G23" s="8" t="n">
        <v>16</v>
      </c>
      <c r="H23" s="8" t="n">
        <v>52</v>
      </c>
      <c r="I23" s="8" t="n">
        <v>12</v>
      </c>
    </row>
    <row r="24" customFormat="false" ht="15" hidden="false" customHeight="false" outlineLevel="0" collapsed="false">
      <c r="A24" s="3" t="s">
        <v>46</v>
      </c>
      <c r="B24" s="3" t="s">
        <v>40</v>
      </c>
      <c r="C24" s="3" t="s">
        <v>38</v>
      </c>
      <c r="D24" s="3" t="s">
        <v>12</v>
      </c>
      <c r="E24" s="4" t="s">
        <v>13</v>
      </c>
      <c r="F24" s="5" t="n">
        <v>200</v>
      </c>
      <c r="G24" s="5" t="n">
        <v>9</v>
      </c>
      <c r="H24" s="5" t="n">
        <v>20</v>
      </c>
      <c r="I24" s="5" t="n">
        <v>10</v>
      </c>
    </row>
    <row r="25" customFormat="false" ht="15" hidden="false" customHeight="false" outlineLevel="0" collapsed="false">
      <c r="A25" s="6" t="s">
        <v>47</v>
      </c>
      <c r="B25" s="6" t="s">
        <v>40</v>
      </c>
      <c r="C25" s="6" t="s">
        <v>38</v>
      </c>
      <c r="D25" s="6" t="s">
        <v>12</v>
      </c>
      <c r="E25" s="7" t="s">
        <v>22</v>
      </c>
      <c r="F25" s="8" t="n">
        <v>240</v>
      </c>
      <c r="G25" s="8" t="n">
        <v>10</v>
      </c>
      <c r="H25" s="8" t="n">
        <v>18</v>
      </c>
      <c r="I25" s="8" t="n">
        <v>15</v>
      </c>
    </row>
    <row r="26" customFormat="false" ht="15" hidden="false" customHeight="false" outlineLevel="0" collapsed="false">
      <c r="A26" s="3" t="s">
        <v>48</v>
      </c>
      <c r="B26" s="3" t="s">
        <v>40</v>
      </c>
      <c r="C26" s="3" t="s">
        <v>38</v>
      </c>
      <c r="D26" s="3" t="s">
        <v>12</v>
      </c>
      <c r="E26" s="4" t="s">
        <v>22</v>
      </c>
      <c r="F26" s="5" t="n">
        <v>200</v>
      </c>
      <c r="G26" s="5" t="n">
        <v>9</v>
      </c>
      <c r="H26" s="5" t="n">
        <v>14</v>
      </c>
      <c r="I26" s="5" t="n">
        <v>11</v>
      </c>
    </row>
    <row r="27" customFormat="false" ht="15" hidden="false" customHeight="false" outlineLevel="0" collapsed="false">
      <c r="A27" s="6" t="s">
        <v>49</v>
      </c>
      <c r="B27" s="6" t="s">
        <v>40</v>
      </c>
      <c r="C27" s="6" t="s">
        <v>38</v>
      </c>
      <c r="D27" s="6" t="s">
        <v>24</v>
      </c>
      <c r="E27" s="7" t="s">
        <v>22</v>
      </c>
      <c r="F27" s="8" t="n">
        <v>300</v>
      </c>
      <c r="G27" s="8" t="n">
        <v>20</v>
      </c>
      <c r="H27" s="8" t="n">
        <v>12</v>
      </c>
      <c r="I27" s="8" t="n">
        <v>18</v>
      </c>
    </row>
    <row r="28" customFormat="false" ht="15" hidden="false" customHeight="false" outlineLevel="0" collapsed="false">
      <c r="A28" s="3" t="s">
        <v>50</v>
      </c>
      <c r="B28" s="3" t="s">
        <v>40</v>
      </c>
      <c r="C28" s="3" t="s">
        <v>11</v>
      </c>
      <c r="D28" s="3" t="s">
        <v>24</v>
      </c>
      <c r="E28" s="4" t="s">
        <v>13</v>
      </c>
      <c r="F28" s="5" t="n">
        <v>320</v>
      </c>
      <c r="G28" s="5" t="n">
        <v>14</v>
      </c>
      <c r="H28" s="5" t="n">
        <v>34</v>
      </c>
      <c r="I28" s="5" t="n">
        <v>14</v>
      </c>
    </row>
    <row r="29" customFormat="false" ht="15" hidden="false" customHeight="false" outlineLevel="0" collapsed="false">
      <c r="A29" s="6" t="s">
        <v>51</v>
      </c>
      <c r="B29" s="6" t="s">
        <v>40</v>
      </c>
      <c r="C29" s="6" t="s">
        <v>38</v>
      </c>
      <c r="D29" s="6" t="s">
        <v>12</v>
      </c>
      <c r="E29" s="7" t="s">
        <v>22</v>
      </c>
      <c r="F29" s="8" t="n">
        <v>300</v>
      </c>
      <c r="G29" s="8" t="n">
        <v>10</v>
      </c>
      <c r="H29" s="8" t="n">
        <v>44</v>
      </c>
      <c r="I29" s="8" t="n">
        <v>10</v>
      </c>
    </row>
    <row r="30" customFormat="false" ht="15" hidden="false" customHeight="false" outlineLevel="0" collapsed="false">
      <c r="A30" s="3" t="s">
        <v>52</v>
      </c>
      <c r="B30" s="3" t="s">
        <v>40</v>
      </c>
      <c r="C30" s="3" t="s">
        <v>38</v>
      </c>
      <c r="D30" s="3" t="s">
        <v>12</v>
      </c>
      <c r="E30" s="4" t="s">
        <v>22</v>
      </c>
      <c r="F30" s="5" t="n">
        <v>460</v>
      </c>
      <c r="G30" s="5" t="n">
        <v>26</v>
      </c>
      <c r="H30" s="5" t="n">
        <v>32</v>
      </c>
      <c r="I30" s="5" t="n">
        <v>24</v>
      </c>
    </row>
    <row r="31" customFormat="false" ht="15" hidden="false" customHeight="false" outlineLevel="0" collapsed="false">
      <c r="A31" s="6" t="s">
        <v>53</v>
      </c>
      <c r="B31" s="6" t="s">
        <v>40</v>
      </c>
      <c r="C31" s="6" t="s">
        <v>38</v>
      </c>
      <c r="D31" s="6" t="s">
        <v>12</v>
      </c>
      <c r="E31" s="7" t="s">
        <v>13</v>
      </c>
      <c r="F31" s="8" t="n">
        <v>320</v>
      </c>
      <c r="G31" s="8" t="n">
        <v>15</v>
      </c>
      <c r="H31" s="8" t="n">
        <v>42</v>
      </c>
      <c r="I31" s="8" t="n">
        <v>10</v>
      </c>
    </row>
    <row r="32" customFormat="false" ht="15" hidden="false" customHeight="false" outlineLevel="0" collapsed="false">
      <c r="A32" s="3" t="s">
        <v>54</v>
      </c>
      <c r="B32" s="3" t="s">
        <v>40</v>
      </c>
      <c r="C32" s="3" t="s">
        <v>38</v>
      </c>
      <c r="D32" s="3" t="s">
        <v>12</v>
      </c>
      <c r="E32" s="4" t="s">
        <v>13</v>
      </c>
      <c r="F32" s="5" t="n">
        <v>420</v>
      </c>
      <c r="G32" s="5" t="n">
        <v>28</v>
      </c>
      <c r="H32" s="5" t="n">
        <v>40</v>
      </c>
      <c r="I32" s="5" t="n">
        <v>16</v>
      </c>
    </row>
    <row r="33" customFormat="false" ht="15" hidden="false" customHeight="false" outlineLevel="0" collapsed="false">
      <c r="A33" s="6" t="s">
        <v>55</v>
      </c>
      <c r="B33" s="6" t="s">
        <v>40</v>
      </c>
      <c r="C33" s="6" t="s">
        <v>11</v>
      </c>
      <c r="D33" s="6" t="s">
        <v>12</v>
      </c>
      <c r="E33" s="7" t="s">
        <v>13</v>
      </c>
      <c r="F33" s="8" t="n">
        <v>420</v>
      </c>
      <c r="G33" s="8" t="n">
        <v>20</v>
      </c>
      <c r="H33" s="8" t="n">
        <v>38</v>
      </c>
      <c r="I33" s="8" t="n">
        <v>20</v>
      </c>
    </row>
    <row r="34" customFormat="false" ht="15" hidden="false" customHeight="false" outlineLevel="0" collapsed="false">
      <c r="A34" s="3" t="s">
        <v>56</v>
      </c>
      <c r="B34" s="3" t="s">
        <v>40</v>
      </c>
      <c r="C34" s="3" t="s">
        <v>57</v>
      </c>
      <c r="D34" s="3" t="s">
        <v>12</v>
      </c>
      <c r="E34" s="4" t="s">
        <v>22</v>
      </c>
      <c r="F34" s="5" t="n">
        <v>300</v>
      </c>
      <c r="G34" s="5" t="n">
        <v>9</v>
      </c>
      <c r="H34" s="5" t="n">
        <v>30</v>
      </c>
      <c r="I34" s="5" t="n">
        <v>16</v>
      </c>
    </row>
    <row r="35" customFormat="false" ht="15" hidden="false" customHeight="false" outlineLevel="0" collapsed="false">
      <c r="A35" s="6" t="s">
        <v>58</v>
      </c>
      <c r="B35" s="6" t="s">
        <v>40</v>
      </c>
      <c r="C35" s="6" t="s">
        <v>42</v>
      </c>
      <c r="D35" s="6" t="s">
        <v>24</v>
      </c>
      <c r="E35" s="7" t="s">
        <v>22</v>
      </c>
      <c r="F35" s="8" t="n">
        <v>420</v>
      </c>
      <c r="G35" s="8" t="n">
        <v>24</v>
      </c>
      <c r="H35" s="8" t="n">
        <v>28</v>
      </c>
      <c r="I35" s="8" t="n">
        <v>22</v>
      </c>
    </row>
    <row r="36" customFormat="false" ht="15" hidden="false" customHeight="false" outlineLevel="0" collapsed="false">
      <c r="A36" s="3" t="s">
        <v>59</v>
      </c>
      <c r="B36" s="3" t="s">
        <v>40</v>
      </c>
      <c r="C36" s="3" t="s">
        <v>11</v>
      </c>
      <c r="D36" s="3" t="s">
        <v>12</v>
      </c>
      <c r="E36" s="4" t="s">
        <v>22</v>
      </c>
      <c r="F36" s="5" t="n">
        <v>260</v>
      </c>
      <c r="G36" s="5" t="n">
        <v>16</v>
      </c>
      <c r="H36" s="5" t="n">
        <v>18</v>
      </c>
      <c r="I36" s="5" t="n">
        <v>14</v>
      </c>
    </row>
    <row r="37" customFormat="false" ht="15" hidden="false" customHeight="false" outlineLevel="0" collapsed="false">
      <c r="A37" s="6" t="s">
        <v>60</v>
      </c>
      <c r="B37" s="6" t="s">
        <v>40</v>
      </c>
      <c r="C37" s="6" t="s">
        <v>38</v>
      </c>
      <c r="D37" s="6" t="s">
        <v>24</v>
      </c>
      <c r="E37" s="7" t="s">
        <v>22</v>
      </c>
      <c r="F37" s="8" t="n">
        <v>440</v>
      </c>
      <c r="G37" s="8" t="n">
        <v>19</v>
      </c>
      <c r="H37" s="8" t="n">
        <v>36</v>
      </c>
      <c r="I37" s="8" t="n">
        <v>24</v>
      </c>
    </row>
    <row r="38" customFormat="false" ht="15" hidden="false" customHeight="false" outlineLevel="0" collapsed="false">
      <c r="A38" s="3" t="s">
        <v>61</v>
      </c>
      <c r="B38" s="3" t="s">
        <v>40</v>
      </c>
      <c r="C38" s="3" t="s">
        <v>36</v>
      </c>
      <c r="D38" s="3" t="s">
        <v>12</v>
      </c>
      <c r="E38" s="4" t="s">
        <v>13</v>
      </c>
      <c r="F38" s="5" t="n">
        <v>340</v>
      </c>
      <c r="G38" s="5" t="n">
        <v>12</v>
      </c>
      <c r="H38" s="5" t="n">
        <v>38</v>
      </c>
      <c r="I38" s="5" t="n">
        <v>16</v>
      </c>
    </row>
    <row r="39" customFormat="false" ht="15" hidden="false" customHeight="false" outlineLevel="0" collapsed="false">
      <c r="A39" s="6" t="s">
        <v>62</v>
      </c>
      <c r="B39" s="6" t="s">
        <v>63</v>
      </c>
      <c r="C39" s="6" t="s">
        <v>38</v>
      </c>
      <c r="D39" s="6" t="s">
        <v>12</v>
      </c>
      <c r="E39" s="7" t="s">
        <v>22</v>
      </c>
      <c r="F39" s="8" t="n">
        <v>520</v>
      </c>
      <c r="G39" s="8" t="n">
        <v>38</v>
      </c>
      <c r="H39" s="8" t="n">
        <v>24</v>
      </c>
      <c r="I39" s="8" t="n">
        <v>28</v>
      </c>
    </row>
    <row r="40" customFormat="false" ht="15" hidden="false" customHeight="false" outlineLevel="0" collapsed="false">
      <c r="A40" s="3" t="s">
        <v>64</v>
      </c>
      <c r="B40" s="3" t="s">
        <v>63</v>
      </c>
      <c r="C40" s="3" t="s">
        <v>38</v>
      </c>
      <c r="D40" s="3" t="s">
        <v>12</v>
      </c>
      <c r="E40" s="4" t="s">
        <v>22</v>
      </c>
      <c r="F40" s="5" t="n">
        <v>340</v>
      </c>
      <c r="G40" s="5" t="n">
        <v>16</v>
      </c>
      <c r="H40" s="5" t="n">
        <v>16</v>
      </c>
      <c r="I40" s="5" t="n">
        <v>24</v>
      </c>
    </row>
    <row r="41" customFormat="false" ht="15" hidden="false" customHeight="false" outlineLevel="0" collapsed="false">
      <c r="A41" s="6" t="s">
        <v>65</v>
      </c>
      <c r="B41" s="6" t="s">
        <v>63</v>
      </c>
      <c r="C41" s="6" t="s">
        <v>38</v>
      </c>
      <c r="D41" s="6" t="s">
        <v>12</v>
      </c>
      <c r="E41" s="7" t="s">
        <v>13</v>
      </c>
      <c r="F41" s="8" t="n">
        <v>380</v>
      </c>
      <c r="G41" s="8" t="n">
        <v>18</v>
      </c>
      <c r="H41" s="8" t="n">
        <v>40</v>
      </c>
      <c r="I41" s="8" t="n">
        <v>16</v>
      </c>
    </row>
    <row r="42" customFormat="false" ht="15" hidden="false" customHeight="false" outlineLevel="0" collapsed="false">
      <c r="A42" s="3" t="s">
        <v>66</v>
      </c>
      <c r="B42" s="3" t="s">
        <v>63</v>
      </c>
      <c r="C42" s="3" t="s">
        <v>38</v>
      </c>
      <c r="D42" s="3" t="s">
        <v>24</v>
      </c>
      <c r="E42" s="4" t="s">
        <v>22</v>
      </c>
      <c r="F42" s="5" t="n">
        <v>360</v>
      </c>
      <c r="G42" s="5" t="n">
        <v>24</v>
      </c>
      <c r="H42" s="5" t="n">
        <v>22</v>
      </c>
      <c r="I42" s="5" t="n">
        <v>18</v>
      </c>
    </row>
    <row r="43" customFormat="false" ht="15" hidden="false" customHeight="false" outlineLevel="0" collapsed="false">
      <c r="A43" s="6" t="s">
        <v>67</v>
      </c>
      <c r="B43" s="6" t="s">
        <v>63</v>
      </c>
      <c r="C43" s="6" t="s">
        <v>38</v>
      </c>
      <c r="D43" s="6" t="s">
        <v>12</v>
      </c>
      <c r="E43" s="7" t="s">
        <v>22</v>
      </c>
      <c r="F43" s="8" t="n">
        <v>440</v>
      </c>
      <c r="G43" s="8" t="n">
        <v>32</v>
      </c>
      <c r="H43" s="8" t="n">
        <v>28</v>
      </c>
      <c r="I43" s="8" t="n">
        <v>22</v>
      </c>
    </row>
    <row r="44" customFormat="false" ht="15" hidden="false" customHeight="false" outlineLevel="0" collapsed="false">
      <c r="A44" s="3" t="s">
        <v>68</v>
      </c>
      <c r="B44" s="3" t="s">
        <v>63</v>
      </c>
      <c r="C44" s="3" t="s">
        <v>38</v>
      </c>
      <c r="D44" s="3" t="s">
        <v>12</v>
      </c>
      <c r="E44" s="4" t="s">
        <v>22</v>
      </c>
      <c r="F44" s="5" t="n">
        <v>480</v>
      </c>
      <c r="G44" s="5" t="n">
        <v>17</v>
      </c>
      <c r="H44" s="5" t="n">
        <v>60</v>
      </c>
      <c r="I44" s="5" t="n">
        <v>18</v>
      </c>
    </row>
    <row r="45" customFormat="false" ht="15" hidden="false" customHeight="false" outlineLevel="0" collapsed="false">
      <c r="A45" s="6" t="s">
        <v>69</v>
      </c>
      <c r="B45" s="6" t="s">
        <v>63</v>
      </c>
      <c r="C45" s="6" t="s">
        <v>42</v>
      </c>
      <c r="D45" s="6" t="s">
        <v>12</v>
      </c>
      <c r="E45" s="7" t="s">
        <v>22</v>
      </c>
      <c r="F45" s="8" t="n">
        <v>380</v>
      </c>
      <c r="G45" s="8" t="n">
        <v>19</v>
      </c>
      <c r="H45" s="8" t="n">
        <v>18</v>
      </c>
      <c r="I45" s="8" t="n">
        <v>25</v>
      </c>
    </row>
    <row r="46" customFormat="false" ht="15" hidden="false" customHeight="false" outlineLevel="0" collapsed="false">
      <c r="A46" s="3" t="s">
        <v>70</v>
      </c>
      <c r="B46" s="3" t="s">
        <v>63</v>
      </c>
      <c r="C46" s="3" t="s">
        <v>71</v>
      </c>
      <c r="D46" s="3" t="s">
        <v>12</v>
      </c>
      <c r="E46" s="4" t="s">
        <v>22</v>
      </c>
      <c r="F46" s="5" t="n">
        <v>360</v>
      </c>
      <c r="G46" s="5" t="n">
        <v>14</v>
      </c>
      <c r="H46" s="5" t="n">
        <v>20</v>
      </c>
      <c r="I46" s="5" t="n">
        <v>24</v>
      </c>
    </row>
    <row r="47" customFormat="false" ht="15" hidden="false" customHeight="false" outlineLevel="0" collapsed="false">
      <c r="A47" s="6" t="s">
        <v>72</v>
      </c>
      <c r="B47" s="6" t="s">
        <v>63</v>
      </c>
      <c r="C47" s="6" t="s">
        <v>38</v>
      </c>
      <c r="D47" s="6" t="s">
        <v>12</v>
      </c>
      <c r="E47" s="7" t="s">
        <v>22</v>
      </c>
      <c r="F47" s="8" t="n">
        <v>400</v>
      </c>
      <c r="G47" s="8" t="n">
        <v>28</v>
      </c>
      <c r="H47" s="8" t="n">
        <v>22</v>
      </c>
      <c r="I47" s="8" t="n">
        <v>22</v>
      </c>
    </row>
    <row r="48" customFormat="false" ht="15" hidden="false" customHeight="false" outlineLevel="0" collapsed="false">
      <c r="A48" s="3" t="s">
        <v>73</v>
      </c>
      <c r="B48" s="3" t="s">
        <v>63</v>
      </c>
      <c r="C48" s="3" t="s">
        <v>38</v>
      </c>
      <c r="D48" s="3" t="s">
        <v>12</v>
      </c>
      <c r="E48" s="4" t="s">
        <v>22</v>
      </c>
      <c r="F48" s="5" t="n">
        <v>460</v>
      </c>
      <c r="G48" s="5" t="n">
        <v>16</v>
      </c>
      <c r="H48" s="5" t="n">
        <v>58</v>
      </c>
      <c r="I48" s="5" t="n">
        <v>18</v>
      </c>
    </row>
    <row r="49" customFormat="false" ht="15" hidden="false" customHeight="false" outlineLevel="0" collapsed="false">
      <c r="A49" s="6" t="s">
        <v>74</v>
      </c>
      <c r="B49" s="6" t="s">
        <v>63</v>
      </c>
      <c r="C49" s="6" t="s">
        <v>26</v>
      </c>
      <c r="D49" s="6" t="s">
        <v>12</v>
      </c>
      <c r="E49" s="7" t="s">
        <v>13</v>
      </c>
      <c r="F49" s="8" t="n">
        <v>380</v>
      </c>
      <c r="G49" s="8" t="n">
        <v>12</v>
      </c>
      <c r="H49" s="8" t="n">
        <v>56</v>
      </c>
      <c r="I49" s="8" t="n">
        <v>12</v>
      </c>
    </row>
    <row r="50" customFormat="false" ht="15" hidden="false" customHeight="false" outlineLevel="0" collapsed="false">
      <c r="A50" s="3" t="s">
        <v>75</v>
      </c>
      <c r="B50" s="3" t="s">
        <v>76</v>
      </c>
      <c r="C50" s="3" t="s">
        <v>11</v>
      </c>
      <c r="D50" s="3" t="s">
        <v>12</v>
      </c>
      <c r="E50" s="4" t="s">
        <v>13</v>
      </c>
      <c r="F50" s="5" t="n">
        <v>280</v>
      </c>
      <c r="G50" s="5" t="n">
        <v>9</v>
      </c>
      <c r="H50" s="5" t="n">
        <v>28</v>
      </c>
      <c r="I50" s="5" t="n">
        <v>14</v>
      </c>
    </row>
    <row r="51" customFormat="false" ht="15" hidden="false" customHeight="false" outlineLevel="0" collapsed="false">
      <c r="A51" s="6" t="s">
        <v>77</v>
      </c>
      <c r="B51" s="6" t="s">
        <v>76</v>
      </c>
      <c r="C51" s="6" t="s">
        <v>11</v>
      </c>
      <c r="D51" s="6" t="s">
        <v>12</v>
      </c>
      <c r="E51" s="7" t="s">
        <v>13</v>
      </c>
      <c r="F51" s="8" t="n">
        <v>300</v>
      </c>
      <c r="G51" s="8" t="n">
        <v>9</v>
      </c>
      <c r="H51" s="8" t="n">
        <v>36</v>
      </c>
      <c r="I51" s="8" t="n">
        <v>13</v>
      </c>
    </row>
    <row r="52" customFormat="false" ht="15" hidden="false" customHeight="false" outlineLevel="0" collapsed="false">
      <c r="A52" s="3" t="s">
        <v>78</v>
      </c>
      <c r="B52" s="3" t="s">
        <v>76</v>
      </c>
      <c r="C52" s="3" t="s">
        <v>38</v>
      </c>
      <c r="D52" s="3" t="s">
        <v>12</v>
      </c>
      <c r="E52" s="4" t="s">
        <v>13</v>
      </c>
      <c r="F52" s="5" t="n">
        <v>240</v>
      </c>
      <c r="G52" s="5" t="n">
        <v>12</v>
      </c>
      <c r="H52" s="5" t="n">
        <v>28</v>
      </c>
      <c r="I52" s="5" t="n">
        <v>9</v>
      </c>
    </row>
    <row r="53" customFormat="false" ht="15" hidden="false" customHeight="false" outlineLevel="0" collapsed="false">
      <c r="A53" s="6" t="s">
        <v>79</v>
      </c>
      <c r="B53" s="6" t="s">
        <v>76</v>
      </c>
      <c r="C53" s="6" t="s">
        <v>11</v>
      </c>
      <c r="D53" s="6" t="s">
        <v>12</v>
      </c>
      <c r="E53" s="7" t="s">
        <v>13</v>
      </c>
      <c r="F53" s="8" t="n">
        <v>320</v>
      </c>
      <c r="G53" s="8" t="n">
        <v>16</v>
      </c>
      <c r="H53" s="8" t="n">
        <v>42</v>
      </c>
      <c r="I53" s="8" t="n">
        <v>8</v>
      </c>
    </row>
    <row r="54" customFormat="false" ht="15" hidden="false" customHeight="false" outlineLevel="0" collapsed="false">
      <c r="A54" s="3" t="s">
        <v>80</v>
      </c>
      <c r="B54" s="3" t="s">
        <v>76</v>
      </c>
      <c r="C54" s="3" t="s">
        <v>11</v>
      </c>
      <c r="D54" s="3" t="s">
        <v>30</v>
      </c>
      <c r="E54" s="4" t="s">
        <v>13</v>
      </c>
      <c r="F54" s="5" t="n">
        <v>280</v>
      </c>
      <c r="G54" s="5" t="n">
        <v>9</v>
      </c>
      <c r="H54" s="5" t="n">
        <v>34</v>
      </c>
      <c r="I54" s="5" t="n">
        <v>12</v>
      </c>
    </row>
    <row r="55" customFormat="false" ht="15" hidden="false" customHeight="false" outlineLevel="0" collapsed="false">
      <c r="A55" s="6" t="s">
        <v>81</v>
      </c>
      <c r="B55" s="6" t="s">
        <v>76</v>
      </c>
      <c r="C55" s="6" t="s">
        <v>11</v>
      </c>
      <c r="D55" s="6" t="s">
        <v>30</v>
      </c>
      <c r="E55" s="7" t="s">
        <v>13</v>
      </c>
      <c r="F55" s="8" t="n">
        <v>280</v>
      </c>
      <c r="G55" s="8" t="n">
        <v>10</v>
      </c>
      <c r="H55" s="8" t="n">
        <v>36</v>
      </c>
      <c r="I55" s="8" t="n">
        <v>10</v>
      </c>
    </row>
    <row r="56" customFormat="false" ht="15" hidden="false" customHeight="false" outlineLevel="0" collapsed="false">
      <c r="A56" s="3" t="s">
        <v>82</v>
      </c>
      <c r="B56" s="3" t="s">
        <v>76</v>
      </c>
      <c r="C56" s="3" t="s">
        <v>57</v>
      </c>
      <c r="D56" s="3" t="s">
        <v>12</v>
      </c>
      <c r="E56" s="4" t="s">
        <v>22</v>
      </c>
      <c r="F56" s="5" t="n">
        <v>240</v>
      </c>
      <c r="G56" s="5" t="n">
        <v>6</v>
      </c>
      <c r="H56" s="5" t="n">
        <v>26</v>
      </c>
      <c r="I56" s="5" t="n">
        <v>13</v>
      </c>
    </row>
    <row r="57" customFormat="false" ht="15" hidden="false" customHeight="false" outlineLevel="0" collapsed="false">
      <c r="A57" s="6" t="s">
        <v>83</v>
      </c>
      <c r="B57" s="6" t="s">
        <v>76</v>
      </c>
      <c r="C57" s="6" t="s">
        <v>57</v>
      </c>
      <c r="D57" s="6" t="s">
        <v>12</v>
      </c>
      <c r="E57" s="7" t="s">
        <v>13</v>
      </c>
      <c r="F57" s="8" t="n">
        <v>200</v>
      </c>
      <c r="G57" s="8" t="n">
        <v>5</v>
      </c>
      <c r="H57" s="8" t="n">
        <v>24</v>
      </c>
      <c r="I57" s="8" t="n">
        <v>10</v>
      </c>
    </row>
    <row r="58" customFormat="false" ht="15" hidden="false" customHeight="false" outlineLevel="0" collapsed="false">
      <c r="A58" s="3" t="s">
        <v>84</v>
      </c>
      <c r="B58" s="3" t="s">
        <v>76</v>
      </c>
      <c r="C58" s="3" t="s">
        <v>57</v>
      </c>
      <c r="D58" s="3" t="s">
        <v>12</v>
      </c>
      <c r="E58" s="4" t="s">
        <v>22</v>
      </c>
      <c r="F58" s="5" t="n">
        <v>360</v>
      </c>
      <c r="G58" s="5" t="n">
        <v>11</v>
      </c>
      <c r="H58" s="5" t="n">
        <v>32</v>
      </c>
      <c r="I58" s="5" t="n">
        <v>20</v>
      </c>
    </row>
    <row r="59" customFormat="false" ht="15" hidden="false" customHeight="false" outlineLevel="0" collapsed="false">
      <c r="A59" s="6" t="s">
        <v>85</v>
      </c>
      <c r="B59" s="6" t="s">
        <v>76</v>
      </c>
      <c r="C59" s="6" t="s">
        <v>11</v>
      </c>
      <c r="D59" s="6" t="s">
        <v>12</v>
      </c>
      <c r="E59" s="7" t="s">
        <v>13</v>
      </c>
      <c r="F59" s="8" t="n">
        <v>260</v>
      </c>
      <c r="G59" s="8" t="n">
        <v>24</v>
      </c>
      <c r="H59" s="8" t="n">
        <v>20</v>
      </c>
      <c r="I59" s="8" t="n">
        <v>9</v>
      </c>
    </row>
    <row r="60" customFormat="false" ht="15" hidden="false" customHeight="false" outlineLevel="0" collapsed="false">
      <c r="A60" s="3" t="s">
        <v>86</v>
      </c>
      <c r="B60" s="3" t="s">
        <v>76</v>
      </c>
      <c r="C60" s="3" t="s">
        <v>11</v>
      </c>
      <c r="D60" s="3" t="s">
        <v>12</v>
      </c>
      <c r="E60" s="4" t="s">
        <v>13</v>
      </c>
      <c r="F60" s="5" t="n">
        <v>240</v>
      </c>
      <c r="G60" s="5" t="n">
        <v>11</v>
      </c>
      <c r="H60" s="5" t="n">
        <v>30</v>
      </c>
      <c r="I60" s="5" t="n">
        <v>9</v>
      </c>
    </row>
    <row r="61" customFormat="false" ht="15" hidden="false" customHeight="false" outlineLevel="0" collapsed="false">
      <c r="A61" s="6" t="s">
        <v>87</v>
      </c>
      <c r="B61" s="6" t="s">
        <v>76</v>
      </c>
      <c r="C61" s="6" t="s">
        <v>42</v>
      </c>
      <c r="D61" s="6" t="s">
        <v>12</v>
      </c>
      <c r="E61" s="7" t="s">
        <v>13</v>
      </c>
      <c r="F61" s="8" t="n">
        <v>280</v>
      </c>
      <c r="G61" s="8" t="n">
        <v>12</v>
      </c>
      <c r="H61" s="8" t="n">
        <v>40</v>
      </c>
      <c r="I61" s="8" t="n">
        <v>8</v>
      </c>
    </row>
    <row r="62" customFormat="false" ht="15" hidden="false" customHeight="false" outlineLevel="0" collapsed="false">
      <c r="A62" s="3" t="s">
        <v>88</v>
      </c>
      <c r="B62" s="3" t="s">
        <v>89</v>
      </c>
      <c r="C62" s="3" t="s">
        <v>38</v>
      </c>
      <c r="D62" s="3" t="s">
        <v>12</v>
      </c>
      <c r="E62" s="4" t="s">
        <v>22</v>
      </c>
      <c r="F62" s="5" t="n">
        <v>520</v>
      </c>
      <c r="G62" s="5" t="n">
        <v>28</v>
      </c>
      <c r="H62" s="5" t="n">
        <v>72</v>
      </c>
      <c r="I62" s="5" t="n">
        <v>12</v>
      </c>
    </row>
    <row r="63" customFormat="false" ht="15" hidden="false" customHeight="false" outlineLevel="0" collapsed="false">
      <c r="A63" s="6" t="s">
        <v>90</v>
      </c>
      <c r="B63" s="6" t="s">
        <v>89</v>
      </c>
      <c r="C63" s="6" t="s">
        <v>42</v>
      </c>
      <c r="D63" s="6" t="s">
        <v>12</v>
      </c>
      <c r="E63" s="7" t="s">
        <v>22</v>
      </c>
      <c r="F63" s="8" t="n">
        <v>600</v>
      </c>
      <c r="G63" s="8" t="n">
        <v>20</v>
      </c>
      <c r="H63" s="8" t="n">
        <v>96</v>
      </c>
      <c r="I63" s="8" t="n">
        <v>14</v>
      </c>
    </row>
    <row r="64" customFormat="false" ht="15" hidden="false" customHeight="false" outlineLevel="0" collapsed="false">
      <c r="A64" s="3" t="s">
        <v>91</v>
      </c>
      <c r="B64" s="3" t="s">
        <v>89</v>
      </c>
      <c r="C64" s="3" t="s">
        <v>42</v>
      </c>
      <c r="D64" s="3" t="s">
        <v>12</v>
      </c>
      <c r="E64" s="4" t="s">
        <v>22</v>
      </c>
      <c r="F64" s="5" t="n">
        <v>580</v>
      </c>
      <c r="G64" s="5" t="n">
        <v>17</v>
      </c>
      <c r="H64" s="5" t="n">
        <v>84</v>
      </c>
      <c r="I64" s="5" t="n">
        <v>20</v>
      </c>
    </row>
    <row r="65" customFormat="false" ht="15" hidden="false" customHeight="false" outlineLevel="0" collapsed="false">
      <c r="A65" s="6" t="s">
        <v>92</v>
      </c>
      <c r="B65" s="6" t="s">
        <v>89</v>
      </c>
      <c r="C65" s="6" t="s">
        <v>42</v>
      </c>
      <c r="D65" s="6" t="s">
        <v>15</v>
      </c>
      <c r="E65" s="7" t="s">
        <v>13</v>
      </c>
      <c r="F65" s="8" t="n">
        <v>520</v>
      </c>
      <c r="G65" s="8" t="n">
        <v>34</v>
      </c>
      <c r="H65" s="8" t="n">
        <v>46</v>
      </c>
      <c r="I65" s="8" t="n">
        <v>22</v>
      </c>
    </row>
    <row r="66" customFormat="false" ht="15" hidden="false" customHeight="false" outlineLevel="0" collapsed="false">
      <c r="A66" s="3" t="s">
        <v>93</v>
      </c>
      <c r="B66" s="3" t="s">
        <v>89</v>
      </c>
      <c r="C66" s="3" t="s">
        <v>42</v>
      </c>
      <c r="D66" s="3" t="s">
        <v>12</v>
      </c>
      <c r="E66" s="4" t="s">
        <v>22</v>
      </c>
      <c r="F66" s="5" t="n">
        <v>660</v>
      </c>
      <c r="G66" s="5" t="n">
        <v>22</v>
      </c>
      <c r="H66" s="5" t="n">
        <v>88</v>
      </c>
      <c r="I66" s="5" t="n">
        <v>26</v>
      </c>
    </row>
    <row r="67" customFormat="false" ht="15" hidden="false" customHeight="false" outlineLevel="0" collapsed="false">
      <c r="A67" s="6" t="s">
        <v>94</v>
      </c>
      <c r="B67" s="6" t="s">
        <v>89</v>
      </c>
      <c r="C67" s="6" t="s">
        <v>42</v>
      </c>
      <c r="D67" s="6" t="s">
        <v>30</v>
      </c>
      <c r="E67" s="7" t="s">
        <v>22</v>
      </c>
      <c r="F67" s="8" t="n">
        <v>560</v>
      </c>
      <c r="G67" s="8" t="n">
        <v>18</v>
      </c>
      <c r="H67" s="8" t="n">
        <v>92</v>
      </c>
      <c r="I67" s="8" t="n">
        <v>12</v>
      </c>
    </row>
    <row r="68" customFormat="false" ht="15" hidden="false" customHeight="false" outlineLevel="0" collapsed="false">
      <c r="A68" s="3" t="s">
        <v>95</v>
      </c>
      <c r="B68" s="3" t="s">
        <v>89</v>
      </c>
      <c r="C68" s="3" t="s">
        <v>42</v>
      </c>
      <c r="D68" s="3" t="s">
        <v>12</v>
      </c>
      <c r="E68" s="4" t="s">
        <v>13</v>
      </c>
      <c r="F68" s="5" t="n">
        <v>580</v>
      </c>
      <c r="G68" s="5" t="n">
        <v>30</v>
      </c>
      <c r="H68" s="5" t="n">
        <v>76</v>
      </c>
      <c r="I68" s="5" t="n">
        <v>16</v>
      </c>
    </row>
    <row r="69" customFormat="false" ht="15" hidden="false" customHeight="false" outlineLevel="0" collapsed="false">
      <c r="A69" s="6" t="s">
        <v>96</v>
      </c>
      <c r="B69" s="6" t="s">
        <v>89</v>
      </c>
      <c r="C69" s="6" t="s">
        <v>36</v>
      </c>
      <c r="D69" s="6" t="s">
        <v>15</v>
      </c>
      <c r="E69" s="7" t="s">
        <v>22</v>
      </c>
      <c r="F69" s="8" t="n">
        <v>500</v>
      </c>
      <c r="G69" s="8" t="n">
        <v>26</v>
      </c>
      <c r="H69" s="8" t="n">
        <v>66</v>
      </c>
      <c r="I69" s="8" t="n">
        <v>14</v>
      </c>
    </row>
    <row r="70" customFormat="false" ht="15" hidden="false" customHeight="false" outlineLevel="0" collapsed="false">
      <c r="A70" s="3" t="s">
        <v>97</v>
      </c>
      <c r="B70" s="3" t="s">
        <v>89</v>
      </c>
      <c r="C70" s="3" t="s">
        <v>36</v>
      </c>
      <c r="D70" s="3" t="s">
        <v>15</v>
      </c>
      <c r="E70" s="4" t="s">
        <v>22</v>
      </c>
      <c r="F70" s="5" t="n">
        <v>560</v>
      </c>
      <c r="G70" s="5" t="n">
        <v>32</v>
      </c>
      <c r="H70" s="5" t="n">
        <v>68</v>
      </c>
      <c r="I70" s="5" t="n">
        <v>18</v>
      </c>
    </row>
    <row r="71" customFormat="false" ht="15" hidden="false" customHeight="false" outlineLevel="0" collapsed="false">
      <c r="A71" s="6" t="s">
        <v>98</v>
      </c>
      <c r="B71" s="6" t="s">
        <v>89</v>
      </c>
      <c r="C71" s="6" t="s">
        <v>42</v>
      </c>
      <c r="D71" s="6" t="s">
        <v>30</v>
      </c>
      <c r="E71" s="7" t="s">
        <v>13</v>
      </c>
      <c r="F71" s="8" t="n">
        <v>520</v>
      </c>
      <c r="G71" s="8" t="n">
        <v>26</v>
      </c>
      <c r="H71" s="8" t="n">
        <v>72</v>
      </c>
      <c r="I71" s="8" t="n">
        <v>12</v>
      </c>
    </row>
    <row r="72" customFormat="false" ht="15" hidden="false" customHeight="false" outlineLevel="0" collapsed="false">
      <c r="A72" s="3" t="s">
        <v>99</v>
      </c>
      <c r="B72" s="3" t="s">
        <v>89</v>
      </c>
      <c r="C72" s="3" t="s">
        <v>42</v>
      </c>
      <c r="D72" s="3" t="s">
        <v>12</v>
      </c>
      <c r="E72" s="4" t="s">
        <v>22</v>
      </c>
      <c r="F72" s="5" t="n">
        <v>600</v>
      </c>
      <c r="G72" s="5" t="n">
        <v>19</v>
      </c>
      <c r="H72" s="5" t="n">
        <v>92</v>
      </c>
      <c r="I72" s="5" t="n">
        <v>16</v>
      </c>
    </row>
    <row r="73" customFormat="false" ht="15" hidden="false" customHeight="false" outlineLevel="0" collapsed="false">
      <c r="A73" s="6" t="s">
        <v>100</v>
      </c>
      <c r="B73" s="6" t="s">
        <v>89</v>
      </c>
      <c r="C73" s="6" t="s">
        <v>42</v>
      </c>
      <c r="D73" s="6" t="s">
        <v>12</v>
      </c>
      <c r="E73" s="7" t="s">
        <v>13</v>
      </c>
      <c r="F73" s="8" t="n">
        <v>560</v>
      </c>
      <c r="G73" s="8" t="n">
        <v>22</v>
      </c>
      <c r="H73" s="8" t="n">
        <v>84</v>
      </c>
      <c r="I73" s="8" t="n">
        <v>14</v>
      </c>
    </row>
    <row r="74" customFormat="false" ht="15" hidden="false" customHeight="false" outlineLevel="0" collapsed="false">
      <c r="A74" s="3" t="s">
        <v>101</v>
      </c>
      <c r="B74" s="3" t="s">
        <v>89</v>
      </c>
      <c r="C74" s="3" t="s">
        <v>42</v>
      </c>
      <c r="D74" s="3" t="s">
        <v>30</v>
      </c>
      <c r="E74" s="4" t="s">
        <v>22</v>
      </c>
      <c r="F74" s="5" t="n">
        <v>480</v>
      </c>
      <c r="G74" s="5" t="n">
        <v>20</v>
      </c>
      <c r="H74" s="5" t="n">
        <v>60</v>
      </c>
      <c r="I74" s="5" t="n">
        <v>16</v>
      </c>
    </row>
    <row r="75" customFormat="false" ht="15" hidden="false" customHeight="false" outlineLevel="0" collapsed="false">
      <c r="A75" s="6" t="s">
        <v>102</v>
      </c>
      <c r="B75" s="6" t="s">
        <v>103</v>
      </c>
      <c r="C75" s="6" t="s">
        <v>38</v>
      </c>
      <c r="D75" s="6" t="s">
        <v>30</v>
      </c>
      <c r="E75" s="7" t="s">
        <v>22</v>
      </c>
      <c r="F75" s="8" t="n">
        <v>580</v>
      </c>
      <c r="G75" s="8" t="n">
        <v>30</v>
      </c>
      <c r="H75" s="8" t="n">
        <v>74</v>
      </c>
      <c r="I75" s="8" t="n">
        <v>18</v>
      </c>
    </row>
    <row r="76" customFormat="false" ht="15" hidden="false" customHeight="false" outlineLevel="0" collapsed="false">
      <c r="A76" s="3" t="s">
        <v>104</v>
      </c>
      <c r="B76" s="3" t="s">
        <v>103</v>
      </c>
      <c r="C76" s="3" t="s">
        <v>11</v>
      </c>
      <c r="D76" s="3" t="s">
        <v>15</v>
      </c>
      <c r="E76" s="4" t="s">
        <v>13</v>
      </c>
      <c r="F76" s="5" t="n">
        <v>520</v>
      </c>
      <c r="G76" s="5" t="n">
        <v>30</v>
      </c>
      <c r="H76" s="5" t="n">
        <v>66</v>
      </c>
      <c r="I76" s="5" t="n">
        <v>12</v>
      </c>
    </row>
    <row r="77" customFormat="false" ht="15" hidden="false" customHeight="false" outlineLevel="0" collapsed="false">
      <c r="A77" s="6" t="s">
        <v>105</v>
      </c>
      <c r="B77" s="6" t="s">
        <v>103</v>
      </c>
      <c r="C77" s="6" t="s">
        <v>38</v>
      </c>
      <c r="D77" s="6" t="s">
        <v>12</v>
      </c>
      <c r="E77" s="7" t="s">
        <v>22</v>
      </c>
      <c r="F77" s="8" t="n">
        <v>560</v>
      </c>
      <c r="G77" s="8" t="n">
        <v>13</v>
      </c>
      <c r="H77" s="8" t="n">
        <v>100</v>
      </c>
      <c r="I77" s="8" t="n">
        <v>12</v>
      </c>
    </row>
    <row r="78" customFormat="false" ht="15" hidden="false" customHeight="false" outlineLevel="0" collapsed="false">
      <c r="A78" s="3" t="s">
        <v>106</v>
      </c>
      <c r="B78" s="3" t="s">
        <v>103</v>
      </c>
      <c r="C78" s="3" t="s">
        <v>17</v>
      </c>
      <c r="D78" s="3" t="s">
        <v>15</v>
      </c>
      <c r="E78" s="4" t="s">
        <v>13</v>
      </c>
      <c r="F78" s="5" t="n">
        <v>560</v>
      </c>
      <c r="G78" s="5" t="n">
        <v>34</v>
      </c>
      <c r="H78" s="5" t="n">
        <v>64</v>
      </c>
      <c r="I78" s="5" t="n">
        <v>16</v>
      </c>
    </row>
    <row r="79" customFormat="false" ht="15" hidden="false" customHeight="false" outlineLevel="0" collapsed="false">
      <c r="A79" s="6" t="s">
        <v>107</v>
      </c>
      <c r="B79" s="6" t="s">
        <v>103</v>
      </c>
      <c r="C79" s="6" t="s">
        <v>108</v>
      </c>
      <c r="D79" s="6" t="s">
        <v>12</v>
      </c>
      <c r="E79" s="7" t="s">
        <v>22</v>
      </c>
      <c r="F79" s="8" t="n">
        <v>520</v>
      </c>
      <c r="G79" s="8" t="n">
        <v>15</v>
      </c>
      <c r="H79" s="8" t="n">
        <v>86</v>
      </c>
      <c r="I79" s="8" t="n">
        <v>13</v>
      </c>
    </row>
    <row r="80" customFormat="false" ht="15" hidden="false" customHeight="false" outlineLevel="0" collapsed="false">
      <c r="A80" s="3" t="s">
        <v>109</v>
      </c>
      <c r="B80" s="3" t="s">
        <v>103</v>
      </c>
      <c r="C80" s="3" t="s">
        <v>108</v>
      </c>
      <c r="D80" s="3" t="s">
        <v>15</v>
      </c>
      <c r="E80" s="4" t="s">
        <v>13</v>
      </c>
      <c r="F80" s="5" t="n">
        <v>500</v>
      </c>
      <c r="G80" s="5" t="n">
        <v>28</v>
      </c>
      <c r="H80" s="5" t="n">
        <v>68</v>
      </c>
      <c r="I80" s="5" t="n">
        <v>12</v>
      </c>
    </row>
    <row r="81" customFormat="false" ht="15" hidden="false" customHeight="false" outlineLevel="0" collapsed="false">
      <c r="A81" s="6" t="s">
        <v>110</v>
      </c>
      <c r="B81" s="6" t="s">
        <v>103</v>
      </c>
      <c r="C81" s="6" t="s">
        <v>36</v>
      </c>
      <c r="D81" s="6" t="s">
        <v>15</v>
      </c>
      <c r="E81" s="7" t="s">
        <v>22</v>
      </c>
      <c r="F81" s="8" t="n">
        <v>560</v>
      </c>
      <c r="G81" s="8" t="n">
        <v>34</v>
      </c>
      <c r="H81" s="8" t="n">
        <v>58</v>
      </c>
      <c r="I81" s="8" t="n">
        <v>18</v>
      </c>
    </row>
    <row r="82" customFormat="false" ht="15" hidden="false" customHeight="false" outlineLevel="0" collapsed="false">
      <c r="A82" s="3" t="s">
        <v>111</v>
      </c>
      <c r="B82" s="3" t="s">
        <v>103</v>
      </c>
      <c r="C82" s="3" t="s">
        <v>19</v>
      </c>
      <c r="D82" s="3" t="s">
        <v>15</v>
      </c>
      <c r="E82" s="4" t="s">
        <v>13</v>
      </c>
      <c r="F82" s="5" t="n">
        <v>520</v>
      </c>
      <c r="G82" s="5" t="n">
        <v>30</v>
      </c>
      <c r="H82" s="5" t="n">
        <v>62</v>
      </c>
      <c r="I82" s="5" t="n">
        <v>16</v>
      </c>
    </row>
    <row r="83" customFormat="false" ht="15" hidden="false" customHeight="false" outlineLevel="0" collapsed="false">
      <c r="A83" s="6" t="s">
        <v>112</v>
      </c>
      <c r="B83" s="6" t="s">
        <v>103</v>
      </c>
      <c r="C83" s="6" t="s">
        <v>38</v>
      </c>
      <c r="D83" s="6" t="s">
        <v>12</v>
      </c>
      <c r="E83" s="7" t="s">
        <v>22</v>
      </c>
      <c r="F83" s="8" t="n">
        <v>500</v>
      </c>
      <c r="G83" s="8" t="n">
        <v>17</v>
      </c>
      <c r="H83" s="8" t="n">
        <v>70</v>
      </c>
      <c r="I83" s="8" t="n">
        <v>16</v>
      </c>
    </row>
    <row r="84" customFormat="false" ht="15" hidden="false" customHeight="false" outlineLevel="0" collapsed="false">
      <c r="A84" s="3" t="s">
        <v>113</v>
      </c>
      <c r="B84" s="3" t="s">
        <v>103</v>
      </c>
      <c r="C84" s="3" t="s">
        <v>42</v>
      </c>
      <c r="D84" s="3" t="s">
        <v>12</v>
      </c>
      <c r="E84" s="4" t="s">
        <v>22</v>
      </c>
      <c r="F84" s="5" t="n">
        <v>520</v>
      </c>
      <c r="G84" s="5" t="n">
        <v>12</v>
      </c>
      <c r="H84" s="5" t="n">
        <v>80</v>
      </c>
      <c r="I84" s="5" t="n">
        <v>16</v>
      </c>
    </row>
    <row r="85" customFormat="false" ht="15" hidden="false" customHeight="false" outlineLevel="0" collapsed="false">
      <c r="A85" s="6" t="s">
        <v>114</v>
      </c>
      <c r="B85" s="6" t="s">
        <v>103</v>
      </c>
      <c r="C85" s="6" t="s">
        <v>42</v>
      </c>
      <c r="D85" s="6" t="s">
        <v>12</v>
      </c>
      <c r="E85" s="7" t="s">
        <v>22</v>
      </c>
      <c r="F85" s="8" t="n">
        <v>600</v>
      </c>
      <c r="G85" s="8" t="n">
        <v>16</v>
      </c>
      <c r="H85" s="8" t="n">
        <v>88</v>
      </c>
      <c r="I85" s="8" t="n">
        <v>20</v>
      </c>
    </row>
    <row r="86" customFormat="false" ht="15" hidden="false" customHeight="false" outlineLevel="0" collapsed="false">
      <c r="A86" s="3" t="s">
        <v>115</v>
      </c>
      <c r="B86" s="3" t="s">
        <v>116</v>
      </c>
      <c r="C86" s="3" t="s">
        <v>38</v>
      </c>
      <c r="D86" s="3" t="s">
        <v>15</v>
      </c>
      <c r="E86" s="4" t="s">
        <v>22</v>
      </c>
      <c r="F86" s="5" t="n">
        <v>460</v>
      </c>
      <c r="G86" s="5" t="n">
        <v>46</v>
      </c>
      <c r="H86" s="5" t="n">
        <v>20</v>
      </c>
      <c r="I86" s="5" t="n">
        <v>18</v>
      </c>
    </row>
    <row r="87" customFormat="false" ht="15" hidden="false" customHeight="false" outlineLevel="0" collapsed="false">
      <c r="A87" s="6" t="s">
        <v>117</v>
      </c>
      <c r="B87" s="6" t="s">
        <v>116</v>
      </c>
      <c r="C87" s="6" t="s">
        <v>36</v>
      </c>
      <c r="D87" s="6" t="s">
        <v>15</v>
      </c>
      <c r="E87" s="7" t="s">
        <v>22</v>
      </c>
      <c r="F87" s="8" t="n">
        <v>440</v>
      </c>
      <c r="G87" s="8" t="n">
        <v>42</v>
      </c>
      <c r="H87" s="8" t="n">
        <v>8</v>
      </c>
      <c r="I87" s="8" t="n">
        <v>24</v>
      </c>
    </row>
    <row r="88" customFormat="false" ht="15" hidden="false" customHeight="false" outlineLevel="0" collapsed="false">
      <c r="A88" s="3" t="s">
        <v>118</v>
      </c>
      <c r="B88" s="3" t="s">
        <v>116</v>
      </c>
      <c r="C88" s="3" t="s">
        <v>38</v>
      </c>
      <c r="D88" s="3" t="s">
        <v>15</v>
      </c>
      <c r="E88" s="4" t="s">
        <v>13</v>
      </c>
      <c r="F88" s="5" t="n">
        <v>440</v>
      </c>
      <c r="G88" s="5" t="n">
        <v>44</v>
      </c>
      <c r="H88" s="5" t="n">
        <v>22</v>
      </c>
      <c r="I88" s="5" t="n">
        <v>16</v>
      </c>
    </row>
    <row r="89" customFormat="false" ht="15" hidden="false" customHeight="false" outlineLevel="0" collapsed="false">
      <c r="A89" s="6" t="s">
        <v>119</v>
      </c>
      <c r="B89" s="6" t="s">
        <v>116</v>
      </c>
      <c r="C89" s="6" t="s">
        <v>11</v>
      </c>
      <c r="D89" s="6" t="s">
        <v>15</v>
      </c>
      <c r="E89" s="7" t="s">
        <v>13</v>
      </c>
      <c r="F89" s="8" t="n">
        <v>420</v>
      </c>
      <c r="G89" s="8" t="n">
        <v>40</v>
      </c>
      <c r="H89" s="8" t="n">
        <v>18</v>
      </c>
      <c r="I89" s="8" t="n">
        <v>18</v>
      </c>
    </row>
    <row r="90" customFormat="false" ht="15" hidden="false" customHeight="false" outlineLevel="0" collapsed="false">
      <c r="A90" s="3" t="s">
        <v>120</v>
      </c>
      <c r="B90" s="3" t="s">
        <v>116</v>
      </c>
      <c r="C90" s="3" t="s">
        <v>57</v>
      </c>
      <c r="D90" s="3" t="s">
        <v>24</v>
      </c>
      <c r="E90" s="4" t="s">
        <v>22</v>
      </c>
      <c r="F90" s="5" t="n">
        <v>400</v>
      </c>
      <c r="G90" s="5" t="n">
        <v>30</v>
      </c>
      <c r="H90" s="5" t="n">
        <v>20</v>
      </c>
      <c r="I90" s="5" t="n">
        <v>20</v>
      </c>
    </row>
    <row r="91" customFormat="false" ht="15" hidden="false" customHeight="false" outlineLevel="0" collapsed="false">
      <c r="A91" s="6" t="s">
        <v>121</v>
      </c>
      <c r="B91" s="6" t="s">
        <v>116</v>
      </c>
      <c r="C91" s="6" t="s">
        <v>11</v>
      </c>
      <c r="D91" s="6" t="s">
        <v>24</v>
      </c>
      <c r="E91" s="7" t="s">
        <v>22</v>
      </c>
      <c r="F91" s="8" t="n">
        <v>400</v>
      </c>
      <c r="G91" s="8" t="n">
        <v>38</v>
      </c>
      <c r="H91" s="8" t="n">
        <v>8</v>
      </c>
      <c r="I91" s="8" t="n">
        <v>22</v>
      </c>
    </row>
    <row r="92" customFormat="false" ht="15" hidden="false" customHeight="false" outlineLevel="0" collapsed="false">
      <c r="A92" s="3" t="s">
        <v>122</v>
      </c>
      <c r="B92" s="3" t="s">
        <v>116</v>
      </c>
      <c r="C92" s="3" t="s">
        <v>38</v>
      </c>
      <c r="D92" s="3" t="s">
        <v>15</v>
      </c>
      <c r="E92" s="4" t="s">
        <v>22</v>
      </c>
      <c r="F92" s="5" t="n">
        <v>440</v>
      </c>
      <c r="G92" s="5" t="n">
        <v>42</v>
      </c>
      <c r="H92" s="5" t="n">
        <v>16</v>
      </c>
      <c r="I92" s="5" t="n">
        <v>19</v>
      </c>
    </row>
    <row r="93" customFormat="false" ht="15" hidden="false" customHeight="false" outlineLevel="0" collapsed="false">
      <c r="A93" s="6" t="s">
        <v>123</v>
      </c>
      <c r="B93" s="6" t="s">
        <v>116</v>
      </c>
      <c r="C93" s="6" t="s">
        <v>38</v>
      </c>
      <c r="D93" s="6" t="s">
        <v>15</v>
      </c>
      <c r="E93" s="7" t="s">
        <v>13</v>
      </c>
      <c r="F93" s="8" t="n">
        <v>460</v>
      </c>
      <c r="G93" s="8" t="n">
        <v>42</v>
      </c>
      <c r="H93" s="8" t="n">
        <v>20</v>
      </c>
      <c r="I93" s="8" t="n">
        <v>20</v>
      </c>
    </row>
    <row r="94" customFormat="false" ht="15" hidden="false" customHeight="false" outlineLevel="0" collapsed="false">
      <c r="A94" s="3" t="s">
        <v>124</v>
      </c>
      <c r="B94" s="3" t="s">
        <v>116</v>
      </c>
      <c r="C94" s="3" t="s">
        <v>38</v>
      </c>
      <c r="D94" s="3" t="s">
        <v>15</v>
      </c>
      <c r="E94" s="4" t="s">
        <v>13</v>
      </c>
      <c r="F94" s="5" t="n">
        <v>420</v>
      </c>
      <c r="G94" s="5" t="n">
        <v>40</v>
      </c>
      <c r="H94" s="5" t="n">
        <v>18</v>
      </c>
      <c r="I94" s="5" t="n">
        <v>18</v>
      </c>
    </row>
    <row r="95" customFormat="false" ht="15" hidden="false" customHeight="false" outlineLevel="0" collapsed="false">
      <c r="A95" s="6" t="s">
        <v>125</v>
      </c>
      <c r="B95" s="6" t="s">
        <v>116</v>
      </c>
      <c r="C95" s="6" t="s">
        <v>38</v>
      </c>
      <c r="D95" s="6" t="s">
        <v>15</v>
      </c>
      <c r="E95" s="7" t="s">
        <v>22</v>
      </c>
      <c r="F95" s="8" t="n">
        <v>400</v>
      </c>
      <c r="G95" s="8" t="n">
        <v>40</v>
      </c>
      <c r="H95" s="8" t="n">
        <v>24</v>
      </c>
      <c r="I95" s="8" t="n">
        <v>14</v>
      </c>
    </row>
    <row r="96" customFormat="false" ht="15" hidden="false" customHeight="false" outlineLevel="0" collapsed="false">
      <c r="A96" s="3" t="s">
        <v>126</v>
      </c>
      <c r="B96" s="3" t="s">
        <v>116</v>
      </c>
      <c r="C96" s="3" t="s">
        <v>11</v>
      </c>
      <c r="D96" s="3" t="s">
        <v>15</v>
      </c>
      <c r="E96" s="4" t="s">
        <v>22</v>
      </c>
      <c r="F96" s="5" t="n">
        <v>400</v>
      </c>
      <c r="G96" s="5" t="n">
        <v>38</v>
      </c>
      <c r="H96" s="5" t="n">
        <v>14</v>
      </c>
      <c r="I96" s="5" t="n">
        <v>18</v>
      </c>
    </row>
    <row r="97" customFormat="false" ht="15" hidden="false" customHeight="false" outlineLevel="0" collapsed="false">
      <c r="A97" s="6" t="s">
        <v>127</v>
      </c>
      <c r="B97" s="6" t="s">
        <v>116</v>
      </c>
      <c r="C97" s="6" t="s">
        <v>38</v>
      </c>
      <c r="D97" s="6" t="s">
        <v>30</v>
      </c>
      <c r="E97" s="7" t="s">
        <v>13</v>
      </c>
      <c r="F97" s="8" t="n">
        <v>460</v>
      </c>
      <c r="G97" s="8" t="n">
        <v>30</v>
      </c>
      <c r="H97" s="8" t="n">
        <v>36</v>
      </c>
      <c r="I97" s="8" t="n">
        <v>18</v>
      </c>
    </row>
    <row r="98" customFormat="false" ht="15" hidden="false" customHeight="false" outlineLevel="0" collapsed="false">
      <c r="A98" s="3" t="s">
        <v>128</v>
      </c>
      <c r="B98" s="3" t="s">
        <v>116</v>
      </c>
      <c r="C98" s="3" t="s">
        <v>36</v>
      </c>
      <c r="D98" s="3" t="s">
        <v>15</v>
      </c>
      <c r="E98" s="4" t="s">
        <v>22</v>
      </c>
      <c r="F98" s="5" t="n">
        <v>600</v>
      </c>
      <c r="G98" s="5" t="n">
        <v>36</v>
      </c>
      <c r="H98" s="5" t="n">
        <v>58</v>
      </c>
      <c r="I98" s="5" t="n">
        <v>22</v>
      </c>
    </row>
    <row r="99" customFormat="false" ht="15" hidden="false" customHeight="false" outlineLevel="0" collapsed="false">
      <c r="A99" s="6" t="s">
        <v>129</v>
      </c>
      <c r="B99" s="6" t="s">
        <v>116</v>
      </c>
      <c r="C99" s="6" t="s">
        <v>38</v>
      </c>
      <c r="D99" s="6" t="s">
        <v>15</v>
      </c>
      <c r="E99" s="7" t="s">
        <v>22</v>
      </c>
      <c r="F99" s="8" t="n">
        <v>560</v>
      </c>
      <c r="G99" s="8" t="n">
        <v>42</v>
      </c>
      <c r="H99" s="8" t="n">
        <v>20</v>
      </c>
      <c r="I99" s="8" t="n">
        <v>32</v>
      </c>
    </row>
    <row r="100" customFormat="false" ht="15" hidden="false" customHeight="false" outlineLevel="0" collapsed="false">
      <c r="A100" s="3" t="s">
        <v>130</v>
      </c>
      <c r="B100" s="3" t="s">
        <v>116</v>
      </c>
      <c r="C100" s="3" t="s">
        <v>11</v>
      </c>
      <c r="D100" s="3" t="s">
        <v>30</v>
      </c>
      <c r="E100" s="4" t="s">
        <v>22</v>
      </c>
      <c r="F100" s="5" t="n">
        <v>460</v>
      </c>
      <c r="G100" s="5" t="n">
        <v>32</v>
      </c>
      <c r="H100" s="5" t="n">
        <v>34</v>
      </c>
      <c r="I100" s="5" t="n">
        <v>20</v>
      </c>
    </row>
    <row r="101" customFormat="false" ht="15" hidden="false" customHeight="false" outlineLevel="0" collapsed="false">
      <c r="A101" s="6" t="s">
        <v>131</v>
      </c>
      <c r="B101" s="6" t="s">
        <v>116</v>
      </c>
      <c r="C101" s="6" t="s">
        <v>36</v>
      </c>
      <c r="D101" s="6" t="s">
        <v>24</v>
      </c>
      <c r="E101" s="7" t="s">
        <v>22</v>
      </c>
      <c r="F101" s="8" t="n">
        <v>500</v>
      </c>
      <c r="G101" s="8" t="n">
        <v>40</v>
      </c>
      <c r="H101" s="8" t="n">
        <v>16</v>
      </c>
      <c r="I101" s="8" t="n">
        <v>28</v>
      </c>
    </row>
    <row r="102" customFormat="false" ht="15" hidden="false" customHeight="false" outlineLevel="0" collapsed="false">
      <c r="A102" s="3" t="s">
        <v>132</v>
      </c>
      <c r="B102" s="3" t="s">
        <v>116</v>
      </c>
      <c r="C102" s="3" t="s">
        <v>38</v>
      </c>
      <c r="D102" s="3" t="s">
        <v>15</v>
      </c>
      <c r="E102" s="4" t="s">
        <v>22</v>
      </c>
      <c r="F102" s="5" t="n">
        <v>540</v>
      </c>
      <c r="G102" s="5" t="n">
        <v>38</v>
      </c>
      <c r="H102" s="5" t="n">
        <v>12</v>
      </c>
      <c r="I102" s="5" t="n">
        <v>34</v>
      </c>
    </row>
    <row r="103" customFormat="false" ht="15" hidden="false" customHeight="false" outlineLevel="0" collapsed="false">
      <c r="A103" s="6" t="s">
        <v>133</v>
      </c>
      <c r="B103" s="6" t="s">
        <v>116</v>
      </c>
      <c r="C103" s="6" t="s">
        <v>36</v>
      </c>
      <c r="D103" s="6" t="s">
        <v>24</v>
      </c>
      <c r="E103" s="7" t="s">
        <v>22</v>
      </c>
      <c r="F103" s="8" t="n">
        <v>460</v>
      </c>
      <c r="G103" s="8" t="n">
        <v>34</v>
      </c>
      <c r="H103" s="8" t="n">
        <v>18</v>
      </c>
      <c r="I103" s="8" t="n">
        <v>26</v>
      </c>
    </row>
    <row r="104" customFormat="false" ht="15" hidden="false" customHeight="false" outlineLevel="0" collapsed="false">
      <c r="A104" s="3" t="s">
        <v>134</v>
      </c>
      <c r="B104" s="3" t="s">
        <v>116</v>
      </c>
      <c r="C104" s="3" t="s">
        <v>36</v>
      </c>
      <c r="D104" s="3" t="s">
        <v>24</v>
      </c>
      <c r="E104" s="4" t="s">
        <v>22</v>
      </c>
      <c r="F104" s="5" t="n">
        <v>380</v>
      </c>
      <c r="G104" s="5" t="n">
        <v>32</v>
      </c>
      <c r="H104" s="5" t="n">
        <v>10</v>
      </c>
      <c r="I104" s="5" t="n">
        <v>22</v>
      </c>
    </row>
    <row r="105" customFormat="false" ht="15" hidden="false" customHeight="false" outlineLevel="0" collapsed="false">
      <c r="A105" s="6" t="s">
        <v>135</v>
      </c>
      <c r="B105" s="6" t="s">
        <v>136</v>
      </c>
      <c r="C105" s="6" t="s">
        <v>38</v>
      </c>
      <c r="D105" s="6" t="s">
        <v>24</v>
      </c>
      <c r="E105" s="7" t="s">
        <v>22</v>
      </c>
      <c r="F105" s="8" t="n">
        <v>280</v>
      </c>
      <c r="G105" s="8" t="n">
        <v>30</v>
      </c>
      <c r="H105" s="8" t="n">
        <v>12</v>
      </c>
      <c r="I105" s="8" t="n">
        <v>12</v>
      </c>
    </row>
    <row r="106" customFormat="false" ht="15" hidden="false" customHeight="false" outlineLevel="0" collapsed="false">
      <c r="A106" s="3" t="s">
        <v>137</v>
      </c>
      <c r="B106" s="3" t="s">
        <v>136</v>
      </c>
      <c r="C106" s="3" t="s">
        <v>11</v>
      </c>
      <c r="D106" s="3" t="s">
        <v>24</v>
      </c>
      <c r="E106" s="4" t="s">
        <v>22</v>
      </c>
      <c r="F106" s="5" t="n">
        <v>300</v>
      </c>
      <c r="G106" s="5" t="n">
        <v>32</v>
      </c>
      <c r="H106" s="5" t="n">
        <v>8</v>
      </c>
      <c r="I106" s="5" t="n">
        <v>14</v>
      </c>
    </row>
    <row r="107" customFormat="false" ht="15" hidden="false" customHeight="false" outlineLevel="0" collapsed="false">
      <c r="A107" s="6" t="s">
        <v>138</v>
      </c>
      <c r="B107" s="6" t="s">
        <v>136</v>
      </c>
      <c r="C107" s="6" t="s">
        <v>11</v>
      </c>
      <c r="D107" s="6" t="s">
        <v>24</v>
      </c>
      <c r="E107" s="7" t="s">
        <v>13</v>
      </c>
      <c r="F107" s="8" t="n">
        <v>320</v>
      </c>
      <c r="G107" s="8" t="n">
        <v>30</v>
      </c>
      <c r="H107" s="8" t="n">
        <v>16</v>
      </c>
      <c r="I107" s="8" t="n">
        <v>14</v>
      </c>
    </row>
    <row r="108" customFormat="false" ht="15" hidden="false" customHeight="false" outlineLevel="0" collapsed="false">
      <c r="A108" s="3" t="s">
        <v>139</v>
      </c>
      <c r="B108" s="3" t="s">
        <v>136</v>
      </c>
      <c r="C108" s="3" t="s">
        <v>38</v>
      </c>
      <c r="D108" s="3" t="s">
        <v>24</v>
      </c>
      <c r="E108" s="4" t="s">
        <v>13</v>
      </c>
      <c r="F108" s="5" t="n">
        <v>340</v>
      </c>
      <c r="G108" s="5" t="n">
        <v>36</v>
      </c>
      <c r="H108" s="5" t="n">
        <v>16</v>
      </c>
      <c r="I108" s="5" t="n">
        <v>13</v>
      </c>
    </row>
    <row r="109" customFormat="false" ht="15" hidden="false" customHeight="false" outlineLevel="0" collapsed="false">
      <c r="A109" s="6" t="s">
        <v>140</v>
      </c>
      <c r="B109" s="6" t="s">
        <v>136</v>
      </c>
      <c r="C109" s="6" t="s">
        <v>38</v>
      </c>
      <c r="D109" s="6" t="s">
        <v>24</v>
      </c>
      <c r="E109" s="7" t="s">
        <v>22</v>
      </c>
      <c r="F109" s="8" t="n">
        <v>320</v>
      </c>
      <c r="G109" s="8" t="n">
        <v>34</v>
      </c>
      <c r="H109" s="8" t="n">
        <v>12</v>
      </c>
      <c r="I109" s="8" t="n">
        <v>11</v>
      </c>
    </row>
    <row r="110" customFormat="false" ht="15" hidden="false" customHeight="false" outlineLevel="0" collapsed="false">
      <c r="A110" s="3" t="s">
        <v>141</v>
      </c>
      <c r="B110" s="3" t="s">
        <v>136</v>
      </c>
      <c r="C110" s="3" t="s">
        <v>38</v>
      </c>
      <c r="D110" s="3" t="s">
        <v>24</v>
      </c>
      <c r="E110" s="4" t="s">
        <v>22</v>
      </c>
      <c r="F110" s="5" t="n">
        <v>340</v>
      </c>
      <c r="G110" s="5" t="n">
        <v>28</v>
      </c>
      <c r="H110" s="5" t="n">
        <v>24</v>
      </c>
      <c r="I110" s="5" t="n">
        <v>11</v>
      </c>
    </row>
    <row r="111" customFormat="false" ht="15" hidden="false" customHeight="false" outlineLevel="0" collapsed="false">
      <c r="A111" s="6" t="s">
        <v>142</v>
      </c>
      <c r="B111" s="6" t="s">
        <v>136</v>
      </c>
      <c r="C111" s="6" t="s">
        <v>38</v>
      </c>
      <c r="D111" s="6" t="s">
        <v>24</v>
      </c>
      <c r="E111" s="7" t="s">
        <v>13</v>
      </c>
      <c r="F111" s="8" t="n">
        <v>300</v>
      </c>
      <c r="G111" s="8" t="n">
        <v>24</v>
      </c>
      <c r="H111" s="8" t="n">
        <v>18</v>
      </c>
      <c r="I111" s="8" t="n">
        <v>12</v>
      </c>
    </row>
    <row r="112" customFormat="false" ht="15" hidden="false" customHeight="false" outlineLevel="0" collapsed="false">
      <c r="A112" s="3" t="s">
        <v>143</v>
      </c>
      <c r="B112" s="3" t="s">
        <v>136</v>
      </c>
      <c r="C112" s="3" t="s">
        <v>57</v>
      </c>
      <c r="D112" s="3" t="s">
        <v>24</v>
      </c>
      <c r="E112" s="4" t="s">
        <v>22</v>
      </c>
      <c r="F112" s="5" t="n">
        <v>400</v>
      </c>
      <c r="G112" s="5" t="n">
        <v>32</v>
      </c>
      <c r="H112" s="5" t="n">
        <v>30</v>
      </c>
      <c r="I112" s="5" t="n">
        <v>16</v>
      </c>
    </row>
    <row r="113" customFormat="false" ht="15" hidden="false" customHeight="false" outlineLevel="0" collapsed="false">
      <c r="A113" s="6" t="s">
        <v>144</v>
      </c>
      <c r="B113" s="6" t="s">
        <v>136</v>
      </c>
      <c r="C113" s="6" t="s">
        <v>38</v>
      </c>
      <c r="D113" s="6" t="s">
        <v>24</v>
      </c>
      <c r="E113" s="7" t="s">
        <v>22</v>
      </c>
      <c r="F113" s="8" t="n">
        <v>300</v>
      </c>
      <c r="G113" s="8" t="n">
        <v>30</v>
      </c>
      <c r="H113" s="8" t="n">
        <v>12</v>
      </c>
      <c r="I113" s="8" t="n">
        <v>14</v>
      </c>
    </row>
    <row r="114" customFormat="false" ht="15" hidden="false" customHeight="false" outlineLevel="0" collapsed="false">
      <c r="A114" s="3" t="s">
        <v>145</v>
      </c>
      <c r="B114" s="3" t="s">
        <v>136</v>
      </c>
      <c r="C114" s="3" t="s">
        <v>38</v>
      </c>
      <c r="D114" s="3" t="s">
        <v>24</v>
      </c>
      <c r="E114" s="4" t="s">
        <v>22</v>
      </c>
      <c r="F114" s="5" t="n">
        <v>340</v>
      </c>
      <c r="G114" s="5" t="n">
        <v>34</v>
      </c>
      <c r="H114" s="5" t="n">
        <v>14</v>
      </c>
      <c r="I114" s="5" t="n">
        <v>12</v>
      </c>
    </row>
    <row r="115" customFormat="false" ht="15" hidden="false" customHeight="false" outlineLevel="0" collapsed="false">
      <c r="A115" s="6" t="s">
        <v>146</v>
      </c>
      <c r="B115" s="6" t="s">
        <v>147</v>
      </c>
      <c r="C115" s="6" t="s">
        <v>11</v>
      </c>
      <c r="D115" s="6" t="s">
        <v>30</v>
      </c>
      <c r="E115" s="7" t="s">
        <v>22</v>
      </c>
      <c r="F115" s="8" t="n">
        <v>460</v>
      </c>
      <c r="G115" s="8" t="n">
        <v>30</v>
      </c>
      <c r="H115" s="8" t="n">
        <v>26</v>
      </c>
      <c r="I115" s="8" t="n">
        <v>22</v>
      </c>
    </row>
    <row r="116" customFormat="false" ht="15" hidden="false" customHeight="false" outlineLevel="0" collapsed="false">
      <c r="A116" s="3" t="s">
        <v>148</v>
      </c>
      <c r="B116" s="3" t="s">
        <v>147</v>
      </c>
      <c r="C116" s="3" t="s">
        <v>11</v>
      </c>
      <c r="D116" s="3" t="s">
        <v>15</v>
      </c>
      <c r="E116" s="4" t="s">
        <v>13</v>
      </c>
      <c r="F116" s="5" t="n">
        <v>520</v>
      </c>
      <c r="G116" s="5" t="n">
        <v>40</v>
      </c>
      <c r="H116" s="5" t="n">
        <v>16</v>
      </c>
      <c r="I116" s="5" t="n">
        <v>30</v>
      </c>
    </row>
    <row r="117" customFormat="false" ht="15" hidden="false" customHeight="false" outlineLevel="0" collapsed="false">
      <c r="A117" s="6" t="s">
        <v>149</v>
      </c>
      <c r="B117" s="6" t="s">
        <v>147</v>
      </c>
      <c r="C117" s="6" t="s">
        <v>11</v>
      </c>
      <c r="D117" s="6" t="s">
        <v>15</v>
      </c>
      <c r="E117" s="7" t="s">
        <v>13</v>
      </c>
      <c r="F117" s="8" t="n">
        <v>560</v>
      </c>
      <c r="G117" s="8" t="n">
        <v>38</v>
      </c>
      <c r="H117" s="8" t="n">
        <v>62</v>
      </c>
      <c r="I117" s="8" t="n">
        <v>16</v>
      </c>
    </row>
    <row r="118" customFormat="false" ht="15" hidden="false" customHeight="false" outlineLevel="0" collapsed="false">
      <c r="A118" s="3" t="s">
        <v>150</v>
      </c>
      <c r="B118" s="3" t="s">
        <v>147</v>
      </c>
      <c r="C118" s="3" t="s">
        <v>11</v>
      </c>
      <c r="D118" s="3" t="s">
        <v>30</v>
      </c>
      <c r="E118" s="4" t="s">
        <v>13</v>
      </c>
      <c r="F118" s="5" t="n">
        <v>420</v>
      </c>
      <c r="G118" s="5" t="n">
        <v>24</v>
      </c>
      <c r="H118" s="5" t="n">
        <v>40</v>
      </c>
      <c r="I118" s="5" t="n">
        <v>16</v>
      </c>
    </row>
    <row r="119" customFormat="false" ht="15" hidden="false" customHeight="false" outlineLevel="0" collapsed="false">
      <c r="A119" s="6" t="s">
        <v>151</v>
      </c>
      <c r="B119" s="6" t="s">
        <v>147</v>
      </c>
      <c r="C119" s="6" t="s">
        <v>36</v>
      </c>
      <c r="D119" s="6" t="s">
        <v>15</v>
      </c>
      <c r="E119" s="7" t="s">
        <v>13</v>
      </c>
      <c r="F119" s="8" t="n">
        <v>540</v>
      </c>
      <c r="G119" s="8" t="n">
        <v>40</v>
      </c>
      <c r="H119" s="8" t="n">
        <v>34</v>
      </c>
      <c r="I119" s="8" t="n">
        <v>24</v>
      </c>
    </row>
    <row r="120" customFormat="false" ht="15" hidden="false" customHeight="false" outlineLevel="0" collapsed="false">
      <c r="A120" s="3" t="s">
        <v>152</v>
      </c>
      <c r="B120" s="3" t="s">
        <v>147</v>
      </c>
      <c r="C120" s="3" t="s">
        <v>17</v>
      </c>
      <c r="D120" s="3" t="s">
        <v>15</v>
      </c>
      <c r="E120" s="4" t="s">
        <v>22</v>
      </c>
      <c r="F120" s="5" t="n">
        <v>520</v>
      </c>
      <c r="G120" s="5" t="n">
        <v>38</v>
      </c>
      <c r="H120" s="5" t="n">
        <v>42</v>
      </c>
      <c r="I120" s="5" t="n">
        <v>20</v>
      </c>
    </row>
    <row r="121" customFormat="false" ht="15" hidden="false" customHeight="false" outlineLevel="0" collapsed="false">
      <c r="A121" s="6" t="s">
        <v>153</v>
      </c>
      <c r="B121" s="6" t="s">
        <v>147</v>
      </c>
      <c r="C121" s="6" t="s">
        <v>11</v>
      </c>
      <c r="D121" s="6" t="s">
        <v>30</v>
      </c>
      <c r="E121" s="7" t="s">
        <v>13</v>
      </c>
      <c r="F121" s="8" t="n">
        <v>420</v>
      </c>
      <c r="G121" s="8" t="n">
        <v>28</v>
      </c>
      <c r="H121" s="8" t="n">
        <v>32</v>
      </c>
      <c r="I121" s="8" t="n">
        <v>18</v>
      </c>
    </row>
    <row r="122" customFormat="false" ht="15" hidden="false" customHeight="false" outlineLevel="0" collapsed="false">
      <c r="A122" s="3" t="s">
        <v>154</v>
      </c>
      <c r="B122" s="3" t="s">
        <v>147</v>
      </c>
      <c r="C122" s="3" t="s">
        <v>11</v>
      </c>
      <c r="D122" s="3" t="s">
        <v>15</v>
      </c>
      <c r="E122" s="4" t="s">
        <v>13</v>
      </c>
      <c r="F122" s="5" t="n">
        <v>500</v>
      </c>
      <c r="G122" s="5" t="n">
        <v>42</v>
      </c>
      <c r="H122" s="5" t="n">
        <v>10</v>
      </c>
      <c r="I122" s="5" t="n">
        <v>30</v>
      </c>
    </row>
    <row r="123" customFormat="false" ht="15" hidden="false" customHeight="false" outlineLevel="0" collapsed="false">
      <c r="A123" s="6" t="s">
        <v>155</v>
      </c>
      <c r="B123" s="6" t="s">
        <v>147</v>
      </c>
      <c r="C123" s="6" t="s">
        <v>11</v>
      </c>
      <c r="D123" s="6" t="s">
        <v>30</v>
      </c>
      <c r="E123" s="7" t="s">
        <v>13</v>
      </c>
      <c r="F123" s="8" t="n">
        <v>420</v>
      </c>
      <c r="G123" s="8" t="n">
        <v>28</v>
      </c>
      <c r="H123" s="8" t="n">
        <v>34</v>
      </c>
      <c r="I123" s="8" t="n">
        <v>18</v>
      </c>
    </row>
    <row r="124" customFormat="false" ht="15" hidden="false" customHeight="false" outlineLevel="0" collapsed="false">
      <c r="A124" s="3" t="s">
        <v>156</v>
      </c>
      <c r="B124" s="3" t="s">
        <v>147</v>
      </c>
      <c r="C124" s="3" t="s">
        <v>11</v>
      </c>
      <c r="D124" s="3" t="s">
        <v>15</v>
      </c>
      <c r="E124" s="4" t="s">
        <v>13</v>
      </c>
      <c r="F124" s="5" t="n">
        <v>520</v>
      </c>
      <c r="G124" s="5" t="n">
        <v>38</v>
      </c>
      <c r="H124" s="5" t="n">
        <v>48</v>
      </c>
      <c r="I124" s="5" t="n">
        <v>18</v>
      </c>
    </row>
    <row r="125" customFormat="false" ht="15" hidden="false" customHeight="false" outlineLevel="0" collapsed="false">
      <c r="A125" s="6" t="s">
        <v>157</v>
      </c>
      <c r="B125" s="6" t="s">
        <v>147</v>
      </c>
      <c r="C125" s="6" t="s">
        <v>11</v>
      </c>
      <c r="D125" s="6" t="s">
        <v>15</v>
      </c>
      <c r="E125" s="7" t="s">
        <v>22</v>
      </c>
      <c r="F125" s="8" t="n">
        <v>440</v>
      </c>
      <c r="G125" s="8" t="n">
        <v>46</v>
      </c>
      <c r="H125" s="8" t="n">
        <v>16</v>
      </c>
      <c r="I125" s="8" t="n">
        <v>16</v>
      </c>
    </row>
    <row r="126" customFormat="false" ht="15" hidden="false" customHeight="false" outlineLevel="0" collapsed="false">
      <c r="A126" s="3" t="s">
        <v>158</v>
      </c>
      <c r="B126" s="3" t="s">
        <v>147</v>
      </c>
      <c r="C126" s="3" t="s">
        <v>11</v>
      </c>
      <c r="D126" s="3" t="s">
        <v>15</v>
      </c>
      <c r="E126" s="4" t="s">
        <v>22</v>
      </c>
      <c r="F126" s="5" t="n">
        <v>460</v>
      </c>
      <c r="G126" s="5" t="n">
        <v>44</v>
      </c>
      <c r="H126" s="5" t="n">
        <v>18</v>
      </c>
      <c r="I126" s="5" t="n">
        <v>20</v>
      </c>
    </row>
    <row r="127" customFormat="false" ht="15" hidden="false" customHeight="false" outlineLevel="0" collapsed="false">
      <c r="A127" s="6" t="s">
        <v>159</v>
      </c>
      <c r="B127" s="6" t="s">
        <v>147</v>
      </c>
      <c r="C127" s="6" t="s">
        <v>11</v>
      </c>
      <c r="D127" s="6" t="s">
        <v>15</v>
      </c>
      <c r="E127" s="7" t="s">
        <v>22</v>
      </c>
      <c r="F127" s="8" t="n">
        <v>460</v>
      </c>
      <c r="G127" s="8" t="n">
        <v>48</v>
      </c>
      <c r="H127" s="8" t="n">
        <v>16</v>
      </c>
      <c r="I127" s="8" t="n">
        <v>18</v>
      </c>
    </row>
    <row r="128" customFormat="false" ht="15" hidden="false" customHeight="false" outlineLevel="0" collapsed="false">
      <c r="A128" s="3" t="s">
        <v>160</v>
      </c>
      <c r="B128" s="3" t="s">
        <v>147</v>
      </c>
      <c r="C128" s="3" t="s">
        <v>11</v>
      </c>
      <c r="D128" s="3" t="s">
        <v>15</v>
      </c>
      <c r="E128" s="4" t="s">
        <v>22</v>
      </c>
      <c r="F128" s="5" t="n">
        <v>500</v>
      </c>
      <c r="G128" s="5" t="n">
        <v>40</v>
      </c>
      <c r="H128" s="5" t="n">
        <v>20</v>
      </c>
      <c r="I128" s="5" t="n">
        <v>26</v>
      </c>
    </row>
    <row r="129" customFormat="false" ht="15" hidden="false" customHeight="false" outlineLevel="0" collapsed="false">
      <c r="A129" s="6" t="s">
        <v>161</v>
      </c>
      <c r="B129" s="6" t="s">
        <v>147</v>
      </c>
      <c r="C129" s="6" t="s">
        <v>11</v>
      </c>
      <c r="D129" s="6" t="s">
        <v>15</v>
      </c>
      <c r="E129" s="7" t="s">
        <v>22</v>
      </c>
      <c r="F129" s="8" t="n">
        <v>460</v>
      </c>
      <c r="G129" s="8" t="n">
        <v>44</v>
      </c>
      <c r="H129" s="8" t="n">
        <v>8</v>
      </c>
      <c r="I129" s="8" t="n">
        <v>26</v>
      </c>
    </row>
    <row r="130" customFormat="false" ht="15" hidden="false" customHeight="false" outlineLevel="0" collapsed="false">
      <c r="A130" s="3" t="s">
        <v>162</v>
      </c>
      <c r="B130" s="3" t="s">
        <v>147</v>
      </c>
      <c r="C130" s="3" t="s">
        <v>19</v>
      </c>
      <c r="D130" s="3" t="s">
        <v>15</v>
      </c>
      <c r="E130" s="4" t="s">
        <v>13</v>
      </c>
      <c r="F130" s="5" t="n">
        <v>580</v>
      </c>
      <c r="G130" s="5" t="n">
        <v>42</v>
      </c>
      <c r="H130" s="5" t="n">
        <v>38</v>
      </c>
      <c r="I130" s="5" t="n">
        <v>26</v>
      </c>
    </row>
    <row r="131" customFormat="false" ht="15" hidden="false" customHeight="false" outlineLevel="0" collapsed="false">
      <c r="A131" s="6" t="s">
        <v>163</v>
      </c>
      <c r="B131" s="6" t="s">
        <v>147</v>
      </c>
      <c r="C131" s="6" t="s">
        <v>11</v>
      </c>
      <c r="D131" s="6" t="s">
        <v>15</v>
      </c>
      <c r="E131" s="7" t="s">
        <v>22</v>
      </c>
      <c r="F131" s="8" t="n">
        <v>500</v>
      </c>
      <c r="G131" s="8" t="n">
        <v>46</v>
      </c>
      <c r="H131" s="8" t="n">
        <v>22</v>
      </c>
      <c r="I131" s="8" t="n">
        <v>20</v>
      </c>
    </row>
    <row r="132" customFormat="false" ht="15" hidden="false" customHeight="false" outlineLevel="0" collapsed="false">
      <c r="A132" s="3" t="s">
        <v>164</v>
      </c>
      <c r="B132" s="3" t="s">
        <v>147</v>
      </c>
      <c r="C132" s="3" t="s">
        <v>11</v>
      </c>
      <c r="D132" s="3" t="s">
        <v>15</v>
      </c>
      <c r="E132" s="4" t="s">
        <v>13</v>
      </c>
      <c r="F132" s="5" t="n">
        <v>520</v>
      </c>
      <c r="G132" s="5" t="n">
        <v>46</v>
      </c>
      <c r="H132" s="5" t="n">
        <v>18</v>
      </c>
      <c r="I132" s="5" t="n">
        <v>26</v>
      </c>
    </row>
    <row r="133" customFormat="false" ht="15" hidden="false" customHeight="false" outlineLevel="0" collapsed="false">
      <c r="A133" s="6" t="s">
        <v>165</v>
      </c>
      <c r="B133" s="6" t="s">
        <v>147</v>
      </c>
      <c r="C133" s="6" t="s">
        <v>11</v>
      </c>
      <c r="D133" s="6" t="s">
        <v>30</v>
      </c>
      <c r="E133" s="7" t="s">
        <v>22</v>
      </c>
      <c r="F133" s="8" t="n">
        <v>500</v>
      </c>
      <c r="G133" s="8" t="n">
        <v>36</v>
      </c>
      <c r="H133" s="8" t="n">
        <v>40</v>
      </c>
      <c r="I133" s="8" t="n">
        <v>18</v>
      </c>
    </row>
    <row r="134" customFormat="false" ht="15" hidden="false" customHeight="false" outlineLevel="0" collapsed="false">
      <c r="A134" s="3" t="s">
        <v>166</v>
      </c>
      <c r="B134" s="3" t="s">
        <v>147</v>
      </c>
      <c r="C134" s="3" t="s">
        <v>11</v>
      </c>
      <c r="D134" s="3" t="s">
        <v>15</v>
      </c>
      <c r="E134" s="4" t="s">
        <v>13</v>
      </c>
      <c r="F134" s="5" t="n">
        <v>560</v>
      </c>
      <c r="G134" s="5" t="n">
        <v>44</v>
      </c>
      <c r="H134" s="5" t="n">
        <v>24</v>
      </c>
      <c r="I134" s="5" t="n">
        <v>28</v>
      </c>
    </row>
    <row r="135" customFormat="false" ht="15" hidden="false" customHeight="false" outlineLevel="0" collapsed="false">
      <c r="A135" s="6" t="s">
        <v>167</v>
      </c>
      <c r="B135" s="6" t="s">
        <v>147</v>
      </c>
      <c r="C135" s="6" t="s">
        <v>11</v>
      </c>
      <c r="D135" s="6" t="s">
        <v>15</v>
      </c>
      <c r="E135" s="7" t="s">
        <v>13</v>
      </c>
      <c r="F135" s="8" t="n">
        <v>520</v>
      </c>
      <c r="G135" s="8" t="n">
        <v>40</v>
      </c>
      <c r="H135" s="8" t="n">
        <v>42</v>
      </c>
      <c r="I135" s="8" t="n">
        <v>18</v>
      </c>
    </row>
    <row r="136" customFormat="false" ht="15" hidden="false" customHeight="false" outlineLevel="0" collapsed="false">
      <c r="A136" s="3" t="s">
        <v>168</v>
      </c>
      <c r="B136" s="3" t="s">
        <v>147</v>
      </c>
      <c r="C136" s="3" t="s">
        <v>36</v>
      </c>
      <c r="D136" s="3" t="s">
        <v>15</v>
      </c>
      <c r="E136" s="4" t="s">
        <v>13</v>
      </c>
      <c r="F136" s="5" t="n">
        <v>560</v>
      </c>
      <c r="G136" s="5" t="n">
        <v>40</v>
      </c>
      <c r="H136" s="5" t="n">
        <v>58</v>
      </c>
      <c r="I136" s="5" t="n">
        <v>16</v>
      </c>
    </row>
    <row r="137" customFormat="false" ht="15" hidden="false" customHeight="false" outlineLevel="0" collapsed="false">
      <c r="A137" s="6" t="s">
        <v>169</v>
      </c>
      <c r="B137" s="6" t="s">
        <v>147</v>
      </c>
      <c r="C137" s="6" t="s">
        <v>19</v>
      </c>
      <c r="D137" s="6" t="s">
        <v>15</v>
      </c>
      <c r="E137" s="7" t="s">
        <v>13</v>
      </c>
      <c r="F137" s="8" t="n">
        <v>560</v>
      </c>
      <c r="G137" s="8" t="n">
        <v>42</v>
      </c>
      <c r="H137" s="8" t="n">
        <v>30</v>
      </c>
      <c r="I137" s="8" t="n">
        <v>28</v>
      </c>
    </row>
    <row r="138" customFormat="false" ht="15" hidden="false" customHeight="false" outlineLevel="0" collapsed="false">
      <c r="A138" s="3" t="s">
        <v>170</v>
      </c>
      <c r="B138" s="3" t="s">
        <v>147</v>
      </c>
      <c r="C138" s="3" t="s">
        <v>17</v>
      </c>
      <c r="D138" s="3" t="s">
        <v>24</v>
      </c>
      <c r="E138" s="4" t="s">
        <v>22</v>
      </c>
      <c r="F138" s="5" t="n">
        <v>460</v>
      </c>
      <c r="G138" s="5" t="n">
        <v>32</v>
      </c>
      <c r="H138" s="5" t="n">
        <v>38</v>
      </c>
      <c r="I138" s="5" t="n">
        <v>20</v>
      </c>
    </row>
    <row r="139" customFormat="false" ht="15" hidden="false" customHeight="false" outlineLevel="0" collapsed="false">
      <c r="A139" s="6" t="s">
        <v>171</v>
      </c>
      <c r="B139" s="6" t="s">
        <v>147</v>
      </c>
      <c r="C139" s="6" t="s">
        <v>26</v>
      </c>
      <c r="D139" s="6" t="s">
        <v>24</v>
      </c>
      <c r="E139" s="7" t="s">
        <v>22</v>
      </c>
      <c r="F139" s="8" t="n">
        <v>520</v>
      </c>
      <c r="G139" s="8" t="n">
        <v>38</v>
      </c>
      <c r="H139" s="8" t="n">
        <v>46</v>
      </c>
      <c r="I139" s="8" t="n">
        <v>20</v>
      </c>
    </row>
    <row r="140" customFormat="false" ht="15" hidden="false" customHeight="false" outlineLevel="0" collapsed="false">
      <c r="A140" s="3" t="s">
        <v>172</v>
      </c>
      <c r="B140" s="3" t="s">
        <v>147</v>
      </c>
      <c r="C140" s="3" t="s">
        <v>71</v>
      </c>
      <c r="D140" s="3" t="s">
        <v>15</v>
      </c>
      <c r="E140" s="4" t="s">
        <v>22</v>
      </c>
      <c r="F140" s="5" t="n">
        <v>500</v>
      </c>
      <c r="G140" s="5" t="n">
        <v>44</v>
      </c>
      <c r="H140" s="5" t="n">
        <v>22</v>
      </c>
      <c r="I140" s="5" t="n">
        <v>24</v>
      </c>
    </row>
    <row r="141" customFormat="false" ht="15" hidden="false" customHeight="false" outlineLevel="0" collapsed="false">
      <c r="A141" s="6" t="s">
        <v>173</v>
      </c>
      <c r="B141" s="6" t="s">
        <v>147</v>
      </c>
      <c r="C141" s="6" t="s">
        <v>36</v>
      </c>
      <c r="D141" s="6" t="s">
        <v>24</v>
      </c>
      <c r="E141" s="7" t="s">
        <v>22</v>
      </c>
      <c r="F141" s="8" t="n">
        <v>480</v>
      </c>
      <c r="G141" s="8" t="n">
        <v>36</v>
      </c>
      <c r="H141" s="8" t="n">
        <v>40</v>
      </c>
      <c r="I141" s="8" t="n">
        <v>18</v>
      </c>
    </row>
    <row r="142" customFormat="false" ht="15" hidden="false" customHeight="false" outlineLevel="0" collapsed="false">
      <c r="A142" s="3" t="s">
        <v>174</v>
      </c>
      <c r="B142" s="3" t="s">
        <v>175</v>
      </c>
      <c r="C142" s="3" t="s">
        <v>11</v>
      </c>
      <c r="D142" s="3" t="s">
        <v>30</v>
      </c>
      <c r="E142" s="4" t="s">
        <v>13</v>
      </c>
      <c r="F142" s="5" t="n">
        <v>460</v>
      </c>
      <c r="G142" s="5" t="n">
        <v>28</v>
      </c>
      <c r="H142" s="5" t="n">
        <v>38</v>
      </c>
      <c r="I142" s="5" t="n">
        <v>18</v>
      </c>
    </row>
    <row r="143" customFormat="false" ht="15" hidden="false" customHeight="false" outlineLevel="0" collapsed="false">
      <c r="A143" s="6" t="s">
        <v>176</v>
      </c>
      <c r="B143" s="6" t="s">
        <v>175</v>
      </c>
      <c r="C143" s="6" t="s">
        <v>11</v>
      </c>
      <c r="D143" s="6" t="s">
        <v>15</v>
      </c>
      <c r="E143" s="7" t="s">
        <v>13</v>
      </c>
      <c r="F143" s="8" t="n">
        <v>460</v>
      </c>
      <c r="G143" s="8" t="n">
        <v>32</v>
      </c>
      <c r="H143" s="8" t="n">
        <v>24</v>
      </c>
      <c r="I143" s="8" t="n">
        <v>24</v>
      </c>
    </row>
    <row r="144" customFormat="false" ht="15" hidden="false" customHeight="false" outlineLevel="0" collapsed="false">
      <c r="A144" s="3" t="s">
        <v>177</v>
      </c>
      <c r="B144" s="3" t="s">
        <v>175</v>
      </c>
      <c r="C144" s="3" t="s">
        <v>11</v>
      </c>
      <c r="D144" s="3" t="s">
        <v>15</v>
      </c>
      <c r="E144" s="4" t="s">
        <v>22</v>
      </c>
      <c r="F144" s="5" t="n">
        <v>520</v>
      </c>
      <c r="G144" s="5" t="n">
        <v>32</v>
      </c>
      <c r="H144" s="5" t="n">
        <v>32</v>
      </c>
      <c r="I144" s="5" t="n">
        <v>26</v>
      </c>
    </row>
    <row r="145" customFormat="false" ht="15" hidden="false" customHeight="false" outlineLevel="0" collapsed="false">
      <c r="A145" s="6" t="s">
        <v>178</v>
      </c>
      <c r="B145" s="6" t="s">
        <v>175</v>
      </c>
      <c r="C145" s="6" t="s">
        <v>11</v>
      </c>
      <c r="D145" s="6" t="s">
        <v>24</v>
      </c>
      <c r="E145" s="7" t="s">
        <v>22</v>
      </c>
      <c r="F145" s="8" t="n">
        <v>360</v>
      </c>
      <c r="G145" s="8" t="n">
        <v>30</v>
      </c>
      <c r="H145" s="8" t="n">
        <v>14</v>
      </c>
      <c r="I145" s="8" t="n">
        <v>20</v>
      </c>
    </row>
    <row r="146" customFormat="false" ht="15" hidden="false" customHeight="false" outlineLevel="0" collapsed="false">
      <c r="A146" s="3" t="s">
        <v>179</v>
      </c>
      <c r="B146" s="3" t="s">
        <v>175</v>
      </c>
      <c r="C146" s="3" t="s">
        <v>11</v>
      </c>
      <c r="D146" s="3" t="s">
        <v>15</v>
      </c>
      <c r="E146" s="4" t="s">
        <v>13</v>
      </c>
      <c r="F146" s="5" t="n">
        <v>440</v>
      </c>
      <c r="G146" s="5" t="n">
        <v>42</v>
      </c>
      <c r="H146" s="5" t="n">
        <v>8</v>
      </c>
      <c r="I146" s="5" t="n">
        <v>24</v>
      </c>
    </row>
    <row r="147" customFormat="false" ht="15" hidden="false" customHeight="false" outlineLevel="0" collapsed="false">
      <c r="A147" s="6" t="s">
        <v>180</v>
      </c>
      <c r="B147" s="6" t="s">
        <v>175</v>
      </c>
      <c r="C147" s="6" t="s">
        <v>11</v>
      </c>
      <c r="D147" s="6" t="s">
        <v>15</v>
      </c>
      <c r="E147" s="7" t="s">
        <v>13</v>
      </c>
      <c r="F147" s="8" t="n">
        <v>520</v>
      </c>
      <c r="G147" s="8" t="n">
        <v>40</v>
      </c>
      <c r="H147" s="8" t="n">
        <v>36</v>
      </c>
      <c r="I147" s="8" t="n">
        <v>22</v>
      </c>
    </row>
    <row r="148" customFormat="false" ht="15" hidden="false" customHeight="false" outlineLevel="0" collapsed="false">
      <c r="A148" s="3" t="s">
        <v>181</v>
      </c>
      <c r="B148" s="3" t="s">
        <v>175</v>
      </c>
      <c r="C148" s="3" t="s">
        <v>11</v>
      </c>
      <c r="D148" s="3" t="s">
        <v>15</v>
      </c>
      <c r="E148" s="4" t="s">
        <v>22</v>
      </c>
      <c r="F148" s="5" t="n">
        <v>560</v>
      </c>
      <c r="G148" s="5" t="n">
        <v>36</v>
      </c>
      <c r="H148" s="5" t="n">
        <v>42</v>
      </c>
      <c r="I148" s="5" t="n">
        <v>26</v>
      </c>
    </row>
    <row r="149" customFormat="false" ht="15" hidden="false" customHeight="false" outlineLevel="0" collapsed="false">
      <c r="A149" s="6" t="s">
        <v>182</v>
      </c>
      <c r="B149" s="6" t="s">
        <v>175</v>
      </c>
      <c r="C149" s="6" t="s">
        <v>11</v>
      </c>
      <c r="D149" s="6" t="s">
        <v>15</v>
      </c>
      <c r="E149" s="7" t="s">
        <v>22</v>
      </c>
      <c r="F149" s="8" t="n">
        <v>480</v>
      </c>
      <c r="G149" s="8" t="n">
        <v>40</v>
      </c>
      <c r="H149" s="8" t="n">
        <v>18</v>
      </c>
      <c r="I149" s="8" t="n">
        <v>24</v>
      </c>
    </row>
    <row r="150" customFormat="false" ht="15" hidden="false" customHeight="false" outlineLevel="0" collapsed="false">
      <c r="A150" s="3" t="s">
        <v>183</v>
      </c>
      <c r="B150" s="3" t="s">
        <v>175</v>
      </c>
      <c r="C150" s="3" t="s">
        <v>11</v>
      </c>
      <c r="D150" s="3" t="s">
        <v>15</v>
      </c>
      <c r="E150" s="4" t="s">
        <v>22</v>
      </c>
      <c r="F150" s="5" t="n">
        <v>480</v>
      </c>
      <c r="G150" s="5" t="n">
        <v>42</v>
      </c>
      <c r="H150" s="5" t="n">
        <v>14</v>
      </c>
      <c r="I150" s="5" t="n">
        <v>24</v>
      </c>
    </row>
    <row r="151" customFormat="false" ht="15" hidden="false" customHeight="false" outlineLevel="0" collapsed="false">
      <c r="A151" s="6" t="s">
        <v>184</v>
      </c>
      <c r="B151" s="6" t="s">
        <v>175</v>
      </c>
      <c r="C151" s="6" t="s">
        <v>11</v>
      </c>
      <c r="D151" s="6" t="s">
        <v>15</v>
      </c>
      <c r="E151" s="7" t="s">
        <v>13</v>
      </c>
      <c r="F151" s="8" t="n">
        <v>480</v>
      </c>
      <c r="G151" s="8" t="n">
        <v>44</v>
      </c>
      <c r="H151" s="8" t="n">
        <v>14</v>
      </c>
      <c r="I151" s="8" t="n">
        <v>24</v>
      </c>
    </row>
    <row r="152" customFormat="false" ht="15" hidden="false" customHeight="false" outlineLevel="0" collapsed="false">
      <c r="A152" s="3" t="s">
        <v>185</v>
      </c>
      <c r="B152" s="3" t="s">
        <v>175</v>
      </c>
      <c r="C152" s="3" t="s">
        <v>17</v>
      </c>
      <c r="D152" s="3" t="s">
        <v>15</v>
      </c>
      <c r="E152" s="4" t="s">
        <v>22</v>
      </c>
      <c r="F152" s="5" t="n">
        <v>520</v>
      </c>
      <c r="G152" s="5" t="n">
        <v>34</v>
      </c>
      <c r="H152" s="5" t="n">
        <v>40</v>
      </c>
      <c r="I152" s="5" t="n">
        <v>22</v>
      </c>
    </row>
    <row r="153" customFormat="false" ht="15" hidden="false" customHeight="false" outlineLevel="0" collapsed="false">
      <c r="A153" s="6" t="s">
        <v>186</v>
      </c>
      <c r="B153" s="6" t="s">
        <v>175</v>
      </c>
      <c r="C153" s="6" t="s">
        <v>11</v>
      </c>
      <c r="D153" s="6" t="s">
        <v>15</v>
      </c>
      <c r="E153" s="7" t="s">
        <v>22</v>
      </c>
      <c r="F153" s="8" t="n">
        <v>500</v>
      </c>
      <c r="G153" s="8" t="n">
        <v>42</v>
      </c>
      <c r="H153" s="8" t="n">
        <v>16</v>
      </c>
      <c r="I153" s="8" t="n">
        <v>26</v>
      </c>
    </row>
    <row r="154" customFormat="false" ht="15" hidden="false" customHeight="false" outlineLevel="0" collapsed="false">
      <c r="A154" s="3" t="s">
        <v>187</v>
      </c>
      <c r="B154" s="3" t="s">
        <v>175</v>
      </c>
      <c r="C154" s="3" t="s">
        <v>36</v>
      </c>
      <c r="D154" s="3" t="s">
        <v>15</v>
      </c>
      <c r="E154" s="4" t="s">
        <v>22</v>
      </c>
      <c r="F154" s="5" t="n">
        <v>480</v>
      </c>
      <c r="G154" s="5" t="n">
        <v>40</v>
      </c>
      <c r="H154" s="5" t="n">
        <v>28</v>
      </c>
      <c r="I154" s="5" t="n">
        <v>22</v>
      </c>
    </row>
    <row r="155" customFormat="false" ht="15" hidden="false" customHeight="false" outlineLevel="0" collapsed="false">
      <c r="A155" s="6" t="s">
        <v>188</v>
      </c>
      <c r="B155" s="6" t="s">
        <v>189</v>
      </c>
      <c r="C155" s="6" t="s">
        <v>42</v>
      </c>
      <c r="D155" s="6" t="s">
        <v>24</v>
      </c>
      <c r="E155" s="7" t="s">
        <v>13</v>
      </c>
      <c r="F155" s="8" t="n">
        <v>360</v>
      </c>
      <c r="G155" s="8" t="n">
        <v>22</v>
      </c>
      <c r="H155" s="8" t="n">
        <v>14</v>
      </c>
      <c r="I155" s="8" t="n">
        <v>24</v>
      </c>
    </row>
    <row r="156" customFormat="false" ht="15" hidden="false" customHeight="false" outlineLevel="0" collapsed="false">
      <c r="A156" s="3" t="s">
        <v>190</v>
      </c>
      <c r="B156" s="3" t="s">
        <v>189</v>
      </c>
      <c r="C156" s="3" t="s">
        <v>11</v>
      </c>
      <c r="D156" s="3" t="s">
        <v>24</v>
      </c>
      <c r="E156" s="4" t="s">
        <v>22</v>
      </c>
      <c r="F156" s="5" t="n">
        <v>400</v>
      </c>
      <c r="G156" s="5" t="n">
        <v>22</v>
      </c>
      <c r="H156" s="5" t="n">
        <v>18</v>
      </c>
      <c r="I156" s="5" t="n">
        <v>24</v>
      </c>
    </row>
    <row r="157" customFormat="false" ht="15" hidden="false" customHeight="false" outlineLevel="0" collapsed="false">
      <c r="A157" s="6" t="s">
        <v>191</v>
      </c>
      <c r="B157" s="6" t="s">
        <v>189</v>
      </c>
      <c r="C157" s="6" t="s">
        <v>11</v>
      </c>
      <c r="D157" s="6" t="s">
        <v>24</v>
      </c>
      <c r="E157" s="7" t="s">
        <v>22</v>
      </c>
      <c r="F157" s="8" t="n">
        <v>320</v>
      </c>
      <c r="G157" s="8" t="n">
        <v>24</v>
      </c>
      <c r="H157" s="8" t="n">
        <v>6</v>
      </c>
      <c r="I157" s="8" t="n">
        <v>22</v>
      </c>
    </row>
    <row r="158" customFormat="false" ht="15" hidden="false" customHeight="false" outlineLevel="0" collapsed="false">
      <c r="A158" s="3" t="s">
        <v>192</v>
      </c>
      <c r="B158" s="3" t="s">
        <v>189</v>
      </c>
      <c r="C158" s="3" t="s">
        <v>38</v>
      </c>
      <c r="D158" s="3" t="s">
        <v>24</v>
      </c>
      <c r="E158" s="4" t="s">
        <v>22</v>
      </c>
      <c r="F158" s="5" t="n">
        <v>380</v>
      </c>
      <c r="G158" s="5" t="n">
        <v>24</v>
      </c>
      <c r="H158" s="5" t="n">
        <v>8</v>
      </c>
      <c r="I158" s="5" t="n">
        <v>28</v>
      </c>
    </row>
    <row r="159" customFormat="false" ht="15" hidden="false" customHeight="false" outlineLevel="0" collapsed="false">
      <c r="A159" s="6" t="s">
        <v>193</v>
      </c>
      <c r="B159" s="6" t="s">
        <v>189</v>
      </c>
      <c r="C159" s="6" t="s">
        <v>42</v>
      </c>
      <c r="D159" s="6" t="s">
        <v>24</v>
      </c>
      <c r="E159" s="7" t="s">
        <v>13</v>
      </c>
      <c r="F159" s="8" t="n">
        <v>420</v>
      </c>
      <c r="G159" s="8" t="n">
        <v>20</v>
      </c>
      <c r="H159" s="8" t="n">
        <v>30</v>
      </c>
      <c r="I159" s="8" t="n">
        <v>24</v>
      </c>
    </row>
    <row r="160" customFormat="false" ht="15" hidden="false" customHeight="false" outlineLevel="0" collapsed="false">
      <c r="A160" s="3" t="s">
        <v>194</v>
      </c>
      <c r="B160" s="3" t="s">
        <v>189</v>
      </c>
      <c r="C160" s="3" t="s">
        <v>11</v>
      </c>
      <c r="D160" s="3" t="s">
        <v>24</v>
      </c>
      <c r="E160" s="4" t="s">
        <v>22</v>
      </c>
      <c r="F160" s="5" t="n">
        <v>360</v>
      </c>
      <c r="G160" s="5" t="n">
        <v>19</v>
      </c>
      <c r="H160" s="5" t="n">
        <v>14</v>
      </c>
      <c r="I160" s="5" t="n">
        <v>24</v>
      </c>
    </row>
    <row r="161" customFormat="false" ht="15" hidden="false" customHeight="false" outlineLevel="0" collapsed="false">
      <c r="A161" s="6" t="s">
        <v>195</v>
      </c>
      <c r="B161" s="6" t="s">
        <v>189</v>
      </c>
      <c r="C161" s="6" t="s">
        <v>26</v>
      </c>
      <c r="D161" s="6" t="s">
        <v>24</v>
      </c>
      <c r="E161" s="7" t="s">
        <v>13</v>
      </c>
      <c r="F161" s="8" t="n">
        <v>380</v>
      </c>
      <c r="G161" s="8" t="n">
        <v>20</v>
      </c>
      <c r="H161" s="8" t="n">
        <v>24</v>
      </c>
      <c r="I161" s="8" t="n">
        <v>22</v>
      </c>
    </row>
    <row r="162" customFormat="false" ht="15" hidden="false" customHeight="false" outlineLevel="0" collapsed="false">
      <c r="A162" s="3" t="s">
        <v>196</v>
      </c>
      <c r="B162" s="3" t="s">
        <v>189</v>
      </c>
      <c r="C162" s="3" t="s">
        <v>11</v>
      </c>
      <c r="D162" s="3" t="s">
        <v>24</v>
      </c>
      <c r="E162" s="4" t="s">
        <v>22</v>
      </c>
      <c r="F162" s="5" t="n">
        <v>420</v>
      </c>
      <c r="G162" s="5" t="n">
        <v>22</v>
      </c>
      <c r="H162" s="5" t="n">
        <v>24</v>
      </c>
      <c r="I162" s="5" t="n">
        <v>24</v>
      </c>
    </row>
    <row r="163" customFormat="false" ht="15" hidden="false" customHeight="false" outlineLevel="0" collapsed="false">
      <c r="A163" s="6" t="s">
        <v>197</v>
      </c>
      <c r="B163" s="6" t="s">
        <v>189</v>
      </c>
      <c r="C163" s="6" t="s">
        <v>11</v>
      </c>
      <c r="D163" s="6" t="s">
        <v>24</v>
      </c>
      <c r="E163" s="7" t="s">
        <v>22</v>
      </c>
      <c r="F163" s="8" t="n">
        <v>360</v>
      </c>
      <c r="G163" s="8" t="n">
        <v>22</v>
      </c>
      <c r="H163" s="8" t="n">
        <v>10</v>
      </c>
      <c r="I163" s="8" t="n">
        <v>26</v>
      </c>
    </row>
    <row r="164" customFormat="false" ht="15" hidden="false" customHeight="false" outlineLevel="0" collapsed="false">
      <c r="A164" s="3" t="s">
        <v>198</v>
      </c>
      <c r="B164" s="3" t="s">
        <v>189</v>
      </c>
      <c r="C164" s="3" t="s">
        <v>11</v>
      </c>
      <c r="D164" s="3" t="s">
        <v>30</v>
      </c>
      <c r="E164" s="4" t="s">
        <v>22</v>
      </c>
      <c r="F164" s="5" t="n">
        <v>400</v>
      </c>
      <c r="G164" s="5" t="n">
        <v>16</v>
      </c>
      <c r="H164" s="5" t="n">
        <v>36</v>
      </c>
      <c r="I164" s="5" t="n">
        <v>20</v>
      </c>
    </row>
    <row r="165" customFormat="false" ht="15" hidden="false" customHeight="false" outlineLevel="0" collapsed="false">
      <c r="A165" s="6" t="s">
        <v>199</v>
      </c>
      <c r="B165" s="6" t="s">
        <v>189</v>
      </c>
      <c r="C165" s="6" t="s">
        <v>57</v>
      </c>
      <c r="D165" s="6" t="s">
        <v>24</v>
      </c>
      <c r="E165" s="7" t="s">
        <v>22</v>
      </c>
      <c r="F165" s="8" t="n">
        <v>500</v>
      </c>
      <c r="G165" s="8" t="n">
        <v>19</v>
      </c>
      <c r="H165" s="8" t="n">
        <v>46</v>
      </c>
      <c r="I165" s="8" t="n">
        <v>24</v>
      </c>
    </row>
    <row r="166" customFormat="false" ht="15" hidden="false" customHeight="false" outlineLevel="0" collapsed="false">
      <c r="A166" s="3" t="s">
        <v>200</v>
      </c>
      <c r="B166" s="3" t="s">
        <v>189</v>
      </c>
      <c r="C166" s="3" t="s">
        <v>11</v>
      </c>
      <c r="D166" s="3" t="s">
        <v>30</v>
      </c>
      <c r="E166" s="4" t="s">
        <v>22</v>
      </c>
      <c r="F166" s="5" t="n">
        <v>320</v>
      </c>
      <c r="G166" s="5" t="n">
        <v>19</v>
      </c>
      <c r="H166" s="5" t="n">
        <v>4</v>
      </c>
      <c r="I166" s="5" t="n">
        <v>24</v>
      </c>
    </row>
    <row r="167" customFormat="false" ht="15" hidden="false" customHeight="false" outlineLevel="0" collapsed="false">
      <c r="A167" s="6" t="s">
        <v>201</v>
      </c>
      <c r="B167" s="6" t="s">
        <v>189</v>
      </c>
      <c r="C167" s="6" t="s">
        <v>11</v>
      </c>
      <c r="D167" s="6" t="s">
        <v>24</v>
      </c>
      <c r="E167" s="7" t="s">
        <v>22</v>
      </c>
      <c r="F167" s="8" t="n">
        <v>380</v>
      </c>
      <c r="G167" s="8" t="n">
        <v>24</v>
      </c>
      <c r="H167" s="8" t="n">
        <v>10</v>
      </c>
      <c r="I167" s="8" t="n">
        <v>24</v>
      </c>
    </row>
    <row r="169" customFormat="false" ht="15" hidden="false" customHeight="false" outlineLevel="0" collapsed="false">
      <c r="A169" s="9" t="s">
        <v>202</v>
      </c>
    </row>
  </sheetData>
  <autoFilter ref="A1:I1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1"/>
  </cols>
  <sheetData>
    <row r="1" customFormat="false" ht="21.75" hidden="false" customHeight="true" outlineLevel="0" collapsed="false">
      <c r="A1" s="1" t="s">
        <v>1</v>
      </c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  <c r="I1" s="1" t="s">
        <v>209</v>
      </c>
      <c r="J1" s="2" t="s">
        <v>203</v>
      </c>
      <c r="K1" s="2" t="s">
        <v>205</v>
      </c>
    </row>
    <row r="2" customFormat="false" ht="15" hidden="false" customHeight="false" outlineLevel="0" collapsed="false">
      <c r="A2" s="3" t="s">
        <v>10</v>
      </c>
      <c r="B2" s="5" t="n">
        <f aca="false">COUNTIF(Recetario!$B$2:$B$167,$A2)</f>
        <v>17</v>
      </c>
      <c r="C2" s="5" t="n">
        <f aca="false">COUNTIFS(Recetario!$B$2:$B$167,$A2,Recetario!$E$2:$E$167,"Sí")</f>
        <v>13</v>
      </c>
      <c r="D2" s="5" t="n">
        <f aca="false">AVERAGEIF(Recetario!$B$2:$B$167,$A2,Recetario!F$2:F$167)</f>
        <v>470.588235294118</v>
      </c>
      <c r="E2" s="5" t="n">
        <f aca="false">AVERAGEIF(Recetario!$B$2:$B$167,$A2,Recetario!G$2:G$167)</f>
        <v>23.8823529411765</v>
      </c>
      <c r="F2" s="5" t="n">
        <f aca="false">AVERAGEIF(Recetario!$B$2:$B$167,$A2,Recetario!H$2:H$167)</f>
        <v>52.4705882352941</v>
      </c>
      <c r="G2" s="5" t="n">
        <f aca="false">AVERAGEIF(Recetario!$B$2:$B$167,$A2,Recetario!I$2:I$167)</f>
        <v>16</v>
      </c>
      <c r="I2" s="3" t="s">
        <v>36</v>
      </c>
      <c r="J2" s="5" t="n">
        <f aca="false">COUNTIF(Recetario!$C$2:$C$167,$I2)</f>
        <v>14</v>
      </c>
      <c r="K2" s="5" t="n">
        <f aca="false">AVERAGEIF(Recetario!$C$2:$C$167,$I2,Recetario!F$2:F$167)</f>
        <v>485.714285714286</v>
      </c>
    </row>
    <row r="3" customFormat="false" ht="15" hidden="false" customHeight="false" outlineLevel="0" collapsed="false">
      <c r="A3" s="6" t="s">
        <v>40</v>
      </c>
      <c r="B3" s="8" t="n">
        <f aca="false">COUNTIF(Recetario!$B$2:$B$167,$A3)</f>
        <v>20</v>
      </c>
      <c r="C3" s="8" t="n">
        <f aca="false">COUNTIFS(Recetario!$B$2:$B$167,$A3,Recetario!$E$2:$E$167,"Sí")</f>
        <v>9</v>
      </c>
      <c r="D3" s="8" t="n">
        <f aca="false">AVERAGEIF(Recetario!$B$2:$B$167,$A3,Recetario!F$2:F$167)</f>
        <v>337</v>
      </c>
      <c r="E3" s="8" t="n">
        <f aca="false">AVERAGEIF(Recetario!$B$2:$B$167,$A3,Recetario!G$2:G$167)</f>
        <v>16.35</v>
      </c>
      <c r="F3" s="8" t="n">
        <f aca="false">AVERAGEIF(Recetario!$B$2:$B$167,$A3,Recetario!H$2:H$167)</f>
        <v>30.2</v>
      </c>
      <c r="G3" s="8" t="n">
        <f aca="false">AVERAGEIF(Recetario!$B$2:$B$167,$A3,Recetario!I$2:I$167)</f>
        <v>16.45</v>
      </c>
      <c r="I3" s="6" t="s">
        <v>11</v>
      </c>
      <c r="J3" s="8" t="n">
        <f aca="false">COUNTIF(Recetario!$C$2:$C$167,$I3)</f>
        <v>64</v>
      </c>
      <c r="K3" s="8" t="n">
        <f aca="false">AVERAGEIF(Recetario!$C$2:$C$167,$I3,Recetario!F$2:F$167)</f>
        <v>432.5</v>
      </c>
    </row>
    <row r="4" customFormat="false" ht="15" hidden="false" customHeight="false" outlineLevel="0" collapsed="false">
      <c r="A4" s="3" t="s">
        <v>63</v>
      </c>
      <c r="B4" s="5" t="n">
        <f aca="false">COUNTIF(Recetario!$B$2:$B$167,$A4)</f>
        <v>11</v>
      </c>
      <c r="C4" s="5" t="n">
        <f aca="false">COUNTIFS(Recetario!$B$2:$B$167,$A4,Recetario!$E$2:$E$167,"Sí")</f>
        <v>2</v>
      </c>
      <c r="D4" s="5" t="n">
        <f aca="false">AVERAGEIF(Recetario!$B$2:$B$167,$A4,Recetario!F$2:F$167)</f>
        <v>409.090909090909</v>
      </c>
      <c r="E4" s="5" t="n">
        <f aca="false">AVERAGEIF(Recetario!$B$2:$B$167,$A4,Recetario!G$2:G$167)</f>
        <v>21.2727272727273</v>
      </c>
      <c r="F4" s="5" t="n">
        <f aca="false">AVERAGEIF(Recetario!$B$2:$B$167,$A4,Recetario!H$2:H$167)</f>
        <v>33.0909090909091</v>
      </c>
      <c r="G4" s="5" t="n">
        <f aca="false">AVERAGEIF(Recetario!$B$2:$B$167,$A4,Recetario!I$2:I$167)</f>
        <v>20.6363636363636</v>
      </c>
      <c r="I4" s="3" t="s">
        <v>57</v>
      </c>
      <c r="J4" s="5" t="n">
        <f aca="false">COUNTIF(Recetario!$C$2:$C$167,$I4)</f>
        <v>7</v>
      </c>
      <c r="K4" s="5" t="n">
        <f aca="false">AVERAGEIF(Recetario!$C$2:$C$167,$I4,Recetario!F$2:F$167)</f>
        <v>342.857142857143</v>
      </c>
    </row>
    <row r="5" customFormat="false" ht="15" hidden="false" customHeight="false" outlineLevel="0" collapsed="false">
      <c r="A5" s="6" t="s">
        <v>76</v>
      </c>
      <c r="B5" s="8" t="n">
        <f aca="false">COUNTIF(Recetario!$B$2:$B$167,$A5)</f>
        <v>12</v>
      </c>
      <c r="C5" s="8" t="n">
        <f aca="false">COUNTIFS(Recetario!$B$2:$B$167,$A5,Recetario!$E$2:$E$167,"Sí")</f>
        <v>10</v>
      </c>
      <c r="D5" s="8" t="n">
        <f aca="false">AVERAGEIF(Recetario!$B$2:$B$167,$A5,Recetario!F$2:F$167)</f>
        <v>273.333333333333</v>
      </c>
      <c r="E5" s="8" t="n">
        <f aca="false">AVERAGEIF(Recetario!$B$2:$B$167,$A5,Recetario!G$2:G$167)</f>
        <v>11.1666666666667</v>
      </c>
      <c r="F5" s="8" t="n">
        <f aca="false">AVERAGEIF(Recetario!$B$2:$B$167,$A5,Recetario!H$2:H$167)</f>
        <v>31.3333333333333</v>
      </c>
      <c r="G5" s="8" t="n">
        <f aca="false">AVERAGEIF(Recetario!$B$2:$B$167,$A5,Recetario!I$2:I$167)</f>
        <v>11.25</v>
      </c>
      <c r="I5" s="6" t="s">
        <v>71</v>
      </c>
      <c r="J5" s="8" t="n">
        <f aca="false">COUNTIF(Recetario!$C$2:$C$167,$I5)</f>
        <v>2</v>
      </c>
      <c r="K5" s="8" t="n">
        <f aca="false">AVERAGEIF(Recetario!$C$2:$C$167,$I5,Recetario!F$2:F$167)</f>
        <v>430</v>
      </c>
    </row>
    <row r="6" customFormat="false" ht="15" hidden="false" customHeight="false" outlineLevel="0" collapsed="false">
      <c r="A6" s="3" t="s">
        <v>89</v>
      </c>
      <c r="B6" s="5" t="n">
        <f aca="false">COUNTIF(Recetario!$B$2:$B$167,$A6)</f>
        <v>13</v>
      </c>
      <c r="C6" s="5" t="n">
        <f aca="false">COUNTIFS(Recetario!$B$2:$B$167,$A6,Recetario!$E$2:$E$167,"Sí")</f>
        <v>4</v>
      </c>
      <c r="D6" s="5" t="n">
        <f aca="false">AVERAGEIF(Recetario!$B$2:$B$167,$A6,Recetario!F$2:F$167)</f>
        <v>556.923076923077</v>
      </c>
      <c r="E6" s="5" t="n">
        <f aca="false">AVERAGEIF(Recetario!$B$2:$B$167,$A6,Recetario!G$2:G$167)</f>
        <v>24.1538461538462</v>
      </c>
      <c r="F6" s="5" t="n">
        <f aca="false">AVERAGEIF(Recetario!$B$2:$B$167,$A6,Recetario!H$2:H$167)</f>
        <v>76.6153846153846</v>
      </c>
      <c r="G6" s="5" t="n">
        <f aca="false">AVERAGEIF(Recetario!$B$2:$B$167,$A6,Recetario!I$2:I$167)</f>
        <v>16.3076923076923</v>
      </c>
      <c r="I6" s="3" t="s">
        <v>19</v>
      </c>
      <c r="J6" s="5" t="n">
        <f aca="false">COUNTIF(Recetario!$C$2:$C$167,$I6)</f>
        <v>5</v>
      </c>
      <c r="K6" s="5" t="n">
        <f aca="false">AVERAGEIF(Recetario!$C$2:$C$167,$I6,Recetario!F$2:F$167)</f>
        <v>516</v>
      </c>
    </row>
    <row r="7" customFormat="false" ht="15" hidden="false" customHeight="false" outlineLevel="0" collapsed="false">
      <c r="A7" s="6" t="s">
        <v>103</v>
      </c>
      <c r="B7" s="8" t="n">
        <f aca="false">COUNTIF(Recetario!$B$2:$B$167,$A7)</f>
        <v>11</v>
      </c>
      <c r="C7" s="8" t="n">
        <f aca="false">COUNTIFS(Recetario!$B$2:$B$167,$A7,Recetario!$E$2:$E$167,"Sí")</f>
        <v>4</v>
      </c>
      <c r="D7" s="8" t="n">
        <f aca="false">AVERAGEIF(Recetario!$B$2:$B$167,$A7,Recetario!F$2:F$167)</f>
        <v>540</v>
      </c>
      <c r="E7" s="8" t="n">
        <f aca="false">AVERAGEIF(Recetario!$B$2:$B$167,$A7,Recetario!G$2:G$167)</f>
        <v>23.5454545454545</v>
      </c>
      <c r="F7" s="8" t="n">
        <f aca="false">AVERAGEIF(Recetario!$B$2:$B$167,$A7,Recetario!H$2:H$167)</f>
        <v>74.1818181818182</v>
      </c>
      <c r="G7" s="8" t="n">
        <f aca="false">AVERAGEIF(Recetario!$B$2:$B$167,$A7,Recetario!I$2:I$167)</f>
        <v>15.3636363636364</v>
      </c>
      <c r="I7" s="6" t="s">
        <v>42</v>
      </c>
      <c r="J7" s="8" t="n">
        <f aca="false">COUNTIF(Recetario!$C$2:$C$167,$I7)</f>
        <v>18</v>
      </c>
      <c r="K7" s="8" t="n">
        <f aca="false">AVERAGEIF(Recetario!$C$2:$C$167,$I7,Recetario!F$2:F$167)</f>
        <v>503.333333333333</v>
      </c>
    </row>
    <row r="8" customFormat="false" ht="15" hidden="false" customHeight="false" outlineLevel="0" collapsed="false">
      <c r="A8" s="3" t="s">
        <v>116</v>
      </c>
      <c r="B8" s="5" t="n">
        <f aca="false">COUNTIF(Recetario!$B$2:$B$167,$A8)</f>
        <v>19</v>
      </c>
      <c r="C8" s="5" t="n">
        <f aca="false">COUNTIFS(Recetario!$B$2:$B$167,$A8,Recetario!$E$2:$E$167,"Sí")</f>
        <v>5</v>
      </c>
      <c r="D8" s="5" t="n">
        <f aca="false">AVERAGEIF(Recetario!$B$2:$B$167,$A8,Recetario!F$2:F$167)</f>
        <v>454.736842105263</v>
      </c>
      <c r="E8" s="5" t="n">
        <f aca="false">AVERAGEIF(Recetario!$B$2:$B$167,$A8,Recetario!G$2:G$167)</f>
        <v>38.2105263157895</v>
      </c>
      <c r="F8" s="5" t="n">
        <f aca="false">AVERAGEIF(Recetario!$B$2:$B$167,$A8,Recetario!H$2:H$167)</f>
        <v>20.6315789473684</v>
      </c>
      <c r="G8" s="5" t="n">
        <f aca="false">AVERAGEIF(Recetario!$B$2:$B$167,$A8,Recetario!I$2:I$167)</f>
        <v>21.5263157894737</v>
      </c>
      <c r="I8" s="3" t="s">
        <v>108</v>
      </c>
      <c r="J8" s="5" t="n">
        <f aca="false">COUNTIF(Recetario!$C$2:$C$167,$I8)</f>
        <v>2</v>
      </c>
      <c r="K8" s="5" t="n">
        <f aca="false">AVERAGEIF(Recetario!$C$2:$C$167,$I8,Recetario!F$2:F$167)</f>
        <v>510</v>
      </c>
    </row>
    <row r="9" customFormat="false" ht="15" hidden="false" customHeight="false" outlineLevel="0" collapsed="false">
      <c r="A9" s="6" t="s">
        <v>136</v>
      </c>
      <c r="B9" s="8" t="n">
        <f aca="false">COUNTIF(Recetario!$B$2:$B$167,$A9)</f>
        <v>10</v>
      </c>
      <c r="C9" s="8" t="n">
        <f aca="false">COUNTIFS(Recetario!$B$2:$B$167,$A9,Recetario!$E$2:$E$167,"Sí")</f>
        <v>3</v>
      </c>
      <c r="D9" s="8" t="n">
        <f aca="false">AVERAGEIF(Recetario!$B$2:$B$167,$A9,Recetario!F$2:F$167)</f>
        <v>324</v>
      </c>
      <c r="E9" s="8" t="n">
        <f aca="false">AVERAGEIF(Recetario!$B$2:$B$167,$A9,Recetario!G$2:G$167)</f>
        <v>31</v>
      </c>
      <c r="F9" s="8" t="n">
        <f aca="false">AVERAGEIF(Recetario!$B$2:$B$167,$A9,Recetario!H$2:H$167)</f>
        <v>16.2</v>
      </c>
      <c r="G9" s="8" t="n">
        <f aca="false">AVERAGEIF(Recetario!$B$2:$B$167,$A9,Recetario!I$2:I$167)</f>
        <v>12.9</v>
      </c>
      <c r="I9" s="6" t="s">
        <v>38</v>
      </c>
      <c r="J9" s="8" t="n">
        <f aca="false">COUNTIF(Recetario!$C$2:$C$167,$I9)</f>
        <v>44</v>
      </c>
      <c r="K9" s="8" t="n">
        <f aca="false">AVERAGEIF(Recetario!$C$2:$C$167,$I9,Recetario!F$2:F$167)</f>
        <v>391.818181818182</v>
      </c>
    </row>
    <row r="10" customFormat="false" ht="15" hidden="false" customHeight="false" outlineLevel="0" collapsed="false">
      <c r="A10" s="3" t="s">
        <v>147</v>
      </c>
      <c r="B10" s="5" t="n">
        <f aca="false">COUNTIF(Recetario!$B$2:$B$167,$A10)</f>
        <v>27</v>
      </c>
      <c r="C10" s="5" t="n">
        <f aca="false">COUNTIFS(Recetario!$B$2:$B$167,$A10,Recetario!$E$2:$E$167,"Sí")</f>
        <v>14</v>
      </c>
      <c r="D10" s="5" t="n">
        <f aca="false">AVERAGEIF(Recetario!$B$2:$B$167,$A10,Recetario!F$2:F$167)</f>
        <v>498.518518518519</v>
      </c>
      <c r="E10" s="5" t="n">
        <f aca="false">AVERAGEIF(Recetario!$B$2:$B$167,$A10,Recetario!G$2:G$167)</f>
        <v>39.037037037037</v>
      </c>
      <c r="F10" s="5" t="n">
        <f aca="false">AVERAGEIF(Recetario!$B$2:$B$167,$A10,Recetario!H$2:H$167)</f>
        <v>31.1111111111111</v>
      </c>
      <c r="G10" s="5" t="n">
        <f aca="false">AVERAGEIF(Recetario!$B$2:$B$167,$A10,Recetario!I$2:I$167)</f>
        <v>21.4814814814815</v>
      </c>
      <c r="I10" s="3" t="s">
        <v>17</v>
      </c>
      <c r="J10" s="5" t="n">
        <f aca="false">COUNTIF(Recetario!$C$2:$C$167,$I10)</f>
        <v>5</v>
      </c>
      <c r="K10" s="5" t="n">
        <f aca="false">AVERAGEIF(Recetario!$C$2:$C$167,$I10,Recetario!F$2:F$167)</f>
        <v>516</v>
      </c>
    </row>
    <row r="11" customFormat="false" ht="15" hidden="false" customHeight="false" outlineLevel="0" collapsed="false">
      <c r="A11" s="6" t="s">
        <v>175</v>
      </c>
      <c r="B11" s="8" t="n">
        <f aca="false">COUNTIF(Recetario!$B$2:$B$167,$A11)</f>
        <v>13</v>
      </c>
      <c r="C11" s="8" t="n">
        <f aca="false">COUNTIFS(Recetario!$B$2:$B$167,$A11,Recetario!$E$2:$E$167,"Sí")</f>
        <v>5</v>
      </c>
      <c r="D11" s="8" t="n">
        <f aca="false">AVERAGEIF(Recetario!$B$2:$B$167,$A11,Recetario!F$2:F$167)</f>
        <v>481.538461538462</v>
      </c>
      <c r="E11" s="8" t="n">
        <f aca="false">AVERAGEIF(Recetario!$B$2:$B$167,$A11,Recetario!G$2:G$167)</f>
        <v>37.0769230769231</v>
      </c>
      <c r="F11" s="8" t="n">
        <f aca="false">AVERAGEIF(Recetario!$B$2:$B$167,$A11,Recetario!H$2:H$167)</f>
        <v>24.9230769230769</v>
      </c>
      <c r="G11" s="8" t="n">
        <f aca="false">AVERAGEIF(Recetario!$B$2:$B$167,$A11,Recetario!I$2:I$167)</f>
        <v>23.2307692307692</v>
      </c>
      <c r="I11" s="6" t="s">
        <v>26</v>
      </c>
      <c r="J11" s="8" t="n">
        <f aca="false">COUNTIF(Recetario!$C$2:$C$167,$I11)</f>
        <v>5</v>
      </c>
      <c r="K11" s="8" t="n">
        <f aca="false">AVERAGEIF(Recetario!$C$2:$C$167,$I11,Recetario!F$2:F$167)</f>
        <v>416</v>
      </c>
    </row>
    <row r="12" customFormat="false" ht="15" hidden="false" customHeight="false" outlineLevel="0" collapsed="false">
      <c r="A12" s="3" t="s">
        <v>189</v>
      </c>
      <c r="B12" s="5" t="n">
        <f aca="false">COUNTIF(Recetario!$B$2:$B$167,$A12)</f>
        <v>13</v>
      </c>
      <c r="C12" s="5" t="n">
        <f aca="false">COUNTIFS(Recetario!$B$2:$B$167,$A12,Recetario!$E$2:$E$167,"Sí")</f>
        <v>3</v>
      </c>
      <c r="D12" s="5" t="n">
        <f aca="false">AVERAGEIF(Recetario!$B$2:$B$167,$A12,Recetario!F$2:F$167)</f>
        <v>384.615384615385</v>
      </c>
      <c r="E12" s="5" t="n">
        <f aca="false">AVERAGEIF(Recetario!$B$2:$B$167,$A12,Recetario!G$2:G$167)</f>
        <v>21</v>
      </c>
      <c r="F12" s="5" t="n">
        <f aca="false">AVERAGEIF(Recetario!$B$2:$B$167,$A12,Recetario!H$2:H$167)</f>
        <v>18.7692307692308</v>
      </c>
      <c r="G12" s="5" t="n">
        <f aca="false">AVERAGEIF(Recetario!$B$2:$B$167,$A12,Recetario!I$2:I$167)</f>
        <v>23.8461538461538</v>
      </c>
    </row>
    <row r="13" customFormat="false" ht="15" hidden="false" customHeight="false" outlineLevel="0" collapsed="false">
      <c r="A13" s="10" t="s">
        <v>210</v>
      </c>
      <c r="B13" s="11" t="n">
        <f aca="false">SUM(B2:B12)</f>
        <v>166</v>
      </c>
      <c r="C13" s="11" t="n">
        <f aca="false">SUM(C2:C12)</f>
        <v>72</v>
      </c>
      <c r="D13" s="11" t="n">
        <f aca="false">AVERAGE(Recetario!F$2:F$167)</f>
        <v>435.542168674699</v>
      </c>
      <c r="E13" s="11" t="n">
        <f aca="false">AVERAGE(Recetario!G$2:G$167)</f>
        <v>27.2228915662651</v>
      </c>
      <c r="F13" s="11" t="n">
        <f aca="false">AVERAGE(Recetario!H$2:H$167)</f>
        <v>36.2048192771084</v>
      </c>
      <c r="G13" s="11" t="n">
        <f aca="false">AVERAGE(Recetario!I$2:I$167)</f>
        <v>18.5180722891566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2026-06-30T22:25:56Z</dcterms:created>
  <dc:creator>openpyxl</dc:creator>
  <dc:description/>
  <dc:language>en-US</dc:language>
  <cp:lastModifiedBy/>
  <dcterms:modified xsi:type="dcterms:W3CDTF">2026-06-30T22:25:56Z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